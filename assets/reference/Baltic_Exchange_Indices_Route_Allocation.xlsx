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tic Dry Index (BDI)" sheetId="2" state="visible" r:id="rId2"/>
    <sheet xmlns:r="http://schemas.openxmlformats.org/officeDocument/2006/relationships" name="Tanker Indices (BDTI &amp; BCTI)" sheetId="3" state="visible" r:id="rId3"/>
    <sheet xmlns:r="http://schemas.openxmlformats.org/officeDocument/2006/relationships" name="Other Maritime Ind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0.000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FFFFFF"/>
      <sz val="9.5"/>
    </font>
    <font>
      <name val="Segoe UI"/>
      <color rgb="001F2937"/>
      <sz val="9"/>
    </font>
    <font>
      <name val="Segoe UI"/>
      <b val="1"/>
      <color rgb="00111827"/>
      <sz val="9"/>
    </font>
    <font>
      <name val="Segoe UI"/>
      <b val="1"/>
      <color rgb="001B365D"/>
      <sz val="9.5"/>
    </font>
    <font>
      <name val="Segoe UI"/>
      <b val="1"/>
      <color rgb="001B365D"/>
      <sz val="11.5"/>
    </font>
    <font>
      <name val="Segoe UI"/>
      <i val="1"/>
      <color rgb="004B5563"/>
      <sz val="8.5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44673"/>
        <bgColor rgb="00244673"/>
      </patternFill>
    </fill>
    <fill>
      <patternFill patternType="solid">
        <fgColor rgb="00FFFFFF"/>
        <bgColor rgb="00FFFFFF"/>
      </patternFill>
    </fill>
    <fill>
      <patternFill patternType="solid">
        <fgColor rgb="00F9FBFC"/>
        <bgColor rgb="00F9FBFC"/>
      </patternFill>
    </fill>
    <fill>
      <patternFill patternType="solid">
        <fgColor rgb="00E2E8F0"/>
        <bgColor rgb="00E2E8F0"/>
      </patternFill>
    </fill>
    <fill>
      <patternFill patternType="solid">
        <fgColor rgb="00EDF2F7"/>
        <bgColor rgb="00EDF2F7"/>
      </patternFill>
    </fill>
  </fills>
  <borders count="1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6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2" pivotButton="0" quotePrefix="0" xfId="0"/>
    <xf numFmtId="164" fontId="5" fillId="0" borderId="2" applyAlignment="1" pivotButton="0" quotePrefix="0" xfId="0">
      <alignment horizontal="right" vertical="center"/>
    </xf>
    <xf numFmtId="10" fontId="4" fillId="4" borderId="2" applyAlignment="1" pivotButton="0" quotePrefix="0" xfId="0">
      <alignment horizontal="right" vertical="center"/>
    </xf>
    <xf numFmtId="10" fontId="4" fillId="5" borderId="2" applyAlignment="1" pivotButton="0" quotePrefix="0" xfId="0">
      <alignment horizontal="right" vertical="center"/>
    </xf>
    <xf numFmtId="0" fontId="6" fillId="6" borderId="3" applyAlignment="1" pivotButton="0" quotePrefix="0" xfId="0">
      <alignment horizontal="left" vertical="center" wrapText="1"/>
    </xf>
    <xf numFmtId="10" fontId="6" fillId="6" borderId="3" applyAlignment="1" pivotButton="0" quotePrefix="0" xfId="0">
      <alignment horizontal="right" vertical="center"/>
    </xf>
    <xf numFmtId="0" fontId="0" fillId="6" borderId="3" pivotButton="0" quotePrefix="0" xfId="0"/>
    <xf numFmtId="0" fontId="5" fillId="6" borderId="3" applyAlignment="1" pivotButton="0" quotePrefix="0" xfId="0">
      <alignment horizontal="left" vertical="center" wrapText="1"/>
    </xf>
    <xf numFmtId="165" fontId="4" fillId="5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6" fillId="6" borderId="3" pivotButton="0" quotePrefix="0" xfId="0"/>
    <xf numFmtId="166" fontId="6" fillId="6" borderId="3" applyAlignment="1" pivotButton="0" quotePrefix="0" xfId="0">
      <alignment horizontal="right" vertical="center"/>
    </xf>
    <xf numFmtId="0" fontId="8" fillId="0" borderId="0" pivotButton="0" quotePrefix="0" xfId="0"/>
    <xf numFmtId="0" fontId="4" fillId="5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4" fontId="5" fillId="0" borderId="2" applyAlignment="1" pivotButton="0" quotePrefix="0" xfId="0">
      <alignment horizontal="right" vertical="center"/>
    </xf>
    <xf numFmtId="165" fontId="4" fillId="5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6" fontId="6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Baltic Dry Index (BDI) Sector Allocation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Summary'!$A$23:$A$25</f>
            </numRef>
          </cat>
          <val>
            <numRef>
              <f>'Executive Summary'!$B$23:$B$25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21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52" customWidth="1" min="4" max="4"/>
    <col width="18" customWidth="1" min="5" max="5"/>
    <col width="18" customWidth="1" min="6" max="6"/>
    <col width="34" customWidth="1" min="7" max="7"/>
  </cols>
  <sheetData>
    <row r="1" ht="34" customHeight="1">
      <c r="A1" s="1" t="inlineStr">
        <is>
          <t>BALTIC EXCHANGE INDICES — TOP-LEVEL &amp; ROUTE ALLOCATION DASHBOARD</t>
        </is>
      </c>
    </row>
    <row r="2" ht="20" customHeight="1">
      <c r="A2" s="2" t="inlineStr">
        <is>
          <t>Complete summary of index constituent routes, weighting percentages, and benchmark vessel descriptions</t>
        </is>
      </c>
    </row>
    <row r="4" ht="28" customHeight="1">
      <c r="A4" s="3" t="inlineStr">
        <is>
          <t>Baltic Dry Index (BDI)
21 Constituent Routes
(40% Cape | 30% Pan | 30% Supra)</t>
        </is>
      </c>
      <c r="B4" s="31" t="n"/>
      <c r="C4" s="3" t="inlineStr">
        <is>
          <t>Baltic Dirty Tanker (BDTI)
11 Constituent Routes
(Equal Weight: 9.09% per Route)</t>
        </is>
      </c>
      <c r="D4" s="31" t="n"/>
      <c r="E4" s="3" t="inlineStr">
        <is>
          <t>Baltic Clean Tanker (BCTI)
6 Constituent Routes
(Equal Weight: 16.67% per Route)</t>
        </is>
      </c>
      <c r="F4" s="31" t="n"/>
      <c r="G4" s="3" t="inlineStr">
        <is>
          <t>Handysize Index (BHSI)
7 Constituent Routes
(Weighted: 10% to 20% per Route)</t>
        </is>
      </c>
    </row>
    <row r="5" ht="28" customHeight="1">
      <c r="A5" s="32" t="n"/>
      <c r="B5" s="33" t="n"/>
      <c r="C5" s="32" t="n"/>
      <c r="D5" s="33" t="n"/>
      <c r="E5" s="32" t="n"/>
      <c r="F5" s="33" t="n"/>
      <c r="G5" s="34" t="n"/>
    </row>
    <row r="7" ht="24" customHeight="1">
      <c r="A7" s="5" t="inlineStr">
        <is>
          <t>High-Level Baltic Index Architecture &amp; Weighting Structure</t>
        </is>
      </c>
    </row>
    <row r="8" ht="26" customHeight="1">
      <c r="A8" s="6" t="inlineStr">
        <is>
          <t>Primary Index Name</t>
        </is>
      </c>
      <c r="B8" s="6" t="inlineStr">
        <is>
          <t>Acronym</t>
        </is>
      </c>
      <c r="C8" s="6" t="inlineStr">
        <is>
          <t>Market Sector</t>
        </is>
      </c>
      <c r="D8" s="6" t="inlineStr">
        <is>
          <t>Constituent Sub-Segments</t>
        </is>
      </c>
      <c r="E8" s="6" t="inlineStr">
        <is>
          <t>Sector Weighting</t>
        </is>
      </c>
      <c r="F8" s="6" t="inlineStr">
        <is>
          <t>Number of Routes</t>
        </is>
      </c>
      <c r="G8" s="6" t="inlineStr">
        <is>
          <t>Index Formula Weighting Type</t>
        </is>
      </c>
    </row>
    <row r="9" ht="20" customHeight="1">
      <c r="A9" s="7" t="inlineStr">
        <is>
          <t>Baltic Dry Index</t>
        </is>
      </c>
      <c r="B9" s="8" t="inlineStr">
        <is>
          <t>BDI</t>
        </is>
      </c>
      <c r="C9" s="7" t="inlineStr">
        <is>
          <t>Dry Bulk Commodities</t>
        </is>
      </c>
      <c r="D9" s="7" t="inlineStr">
        <is>
          <t>Capesize (40%), Panamax (30%), Supramax (30%)</t>
        </is>
      </c>
      <c r="E9" s="9" t="inlineStr">
        <is>
          <t>100.00%</t>
        </is>
      </c>
      <c r="F9" s="10" t="n">
        <v>21</v>
      </c>
      <c r="G9" s="7" t="inlineStr">
        <is>
          <t>Hierarchical Sector &amp; Route Weighted</t>
        </is>
      </c>
    </row>
    <row r="10" ht="20" customHeight="1">
      <c r="A10" s="11" t="inlineStr">
        <is>
          <t>Baltic Capesize Index</t>
        </is>
      </c>
      <c r="B10" s="12" t="inlineStr">
        <is>
          <t>BCI</t>
        </is>
      </c>
      <c r="C10" s="11" t="inlineStr">
        <is>
          <t>Dry Bulk - Capesize</t>
        </is>
      </c>
      <c r="D10" s="11" t="inlineStr">
        <is>
          <t>Gib/Hamb, Cont/Med-FE, Transpac, China-Brazil, Backhaul</t>
        </is>
      </c>
      <c r="E10" s="13" t="inlineStr">
        <is>
          <t>40.00% of BDI</t>
        </is>
      </c>
      <c r="F10" s="14" t="n">
        <v>5</v>
      </c>
      <c r="G10" s="11" t="inlineStr">
        <is>
          <t>Fixed Weighted Sum * 0.11026</t>
        </is>
      </c>
    </row>
    <row r="11" ht="20" customHeight="1">
      <c r="A11" s="7" t="inlineStr">
        <is>
          <t>Baltic Panamax Index</t>
        </is>
      </c>
      <c r="B11" s="8" t="inlineStr">
        <is>
          <t>BPI</t>
        </is>
      </c>
      <c r="C11" s="7" t="inlineStr">
        <is>
          <t>Dry Bulk - Panamax</t>
        </is>
      </c>
      <c r="D11" s="7" t="inlineStr">
        <is>
          <t>Transatlantic, Front-haul, Transpac, Backhaul, Singapore-Atl</t>
        </is>
      </c>
      <c r="E11" s="9" t="inlineStr">
        <is>
          <t>30.00% of BDI</t>
        </is>
      </c>
      <c r="F11" s="10" t="n">
        <v>5</v>
      </c>
      <c r="G11" s="7" t="inlineStr">
        <is>
          <t>Fixed Weighted Sum (5TC basis)</t>
        </is>
      </c>
    </row>
    <row r="12" ht="20" customHeight="1">
      <c r="A12" s="11" t="inlineStr">
        <is>
          <t>Baltic Supramax Index</t>
        </is>
      </c>
      <c r="B12" s="12" t="inlineStr">
        <is>
          <t>BSI</t>
        </is>
      </c>
      <c r="C12" s="11" t="inlineStr">
        <is>
          <t>Dry Bulk - Supramax</t>
        </is>
      </c>
      <c r="D12" s="11" t="inlineStr">
        <is>
          <t>Med/Bl Sea, USG, N.China, W.Africa, Indo-India, Indo-China, etc.</t>
        </is>
      </c>
      <c r="E12" s="13" t="inlineStr">
        <is>
          <t>30.00% of BDI</t>
        </is>
      </c>
      <c r="F12" s="14" t="n">
        <v>11</v>
      </c>
      <c r="G12" s="11" t="inlineStr">
        <is>
          <t>Fixed Weighted Sum * 0.07911 (11 routes)</t>
        </is>
      </c>
    </row>
    <row r="13" ht="20" customHeight="1">
      <c r="A13" s="7" t="inlineStr">
        <is>
          <t>Baltic Handysize Index</t>
        </is>
      </c>
      <c r="B13" s="8" t="inlineStr">
        <is>
          <t>BHSI</t>
        </is>
      </c>
      <c r="C13" s="7" t="inlineStr">
        <is>
          <t>Dry Bulk - Handysize</t>
        </is>
      </c>
      <c r="D13" s="7" t="inlineStr">
        <is>
          <t>Skaw-Recalada, Skaw-USG, Recalada-Skaw, USG-Skaw, SE Asia, FE</t>
        </is>
      </c>
      <c r="E13" s="9" t="inlineStr">
        <is>
          <t>Standalone</t>
        </is>
      </c>
      <c r="F13" s="10" t="n">
        <v>7</v>
      </c>
      <c r="G13" s="7" t="inlineStr">
        <is>
          <t>Weighted Sum (7TC basis)</t>
        </is>
      </c>
    </row>
    <row r="14" ht="20" customHeight="1">
      <c r="A14" s="11" t="inlineStr">
        <is>
          <t>Baltic Dirty Tanker Index</t>
        </is>
      </c>
      <c r="B14" s="12" t="inlineStr">
        <is>
          <t>BDTI</t>
        </is>
      </c>
      <c r="C14" s="11" t="inlineStr">
        <is>
          <t>Crude &amp; Dirty Petroleum</t>
        </is>
      </c>
      <c r="D14" s="11" t="inlineStr">
        <is>
          <t>VLCC, Suezmax, Aframax key global crude routes</t>
        </is>
      </c>
      <c r="E14" s="13" t="inlineStr">
        <is>
          <t>100.00%</t>
        </is>
      </c>
      <c r="F14" s="14" t="n">
        <v>11</v>
      </c>
      <c r="G14" s="11" t="inlineStr">
        <is>
          <t>Equal Weighted (1/11 per route) * 8.4157</t>
        </is>
      </c>
    </row>
    <row r="15" ht="20" customHeight="1">
      <c r="A15" s="7" t="inlineStr">
        <is>
          <t>Baltic Clean Tanker Index</t>
        </is>
      </c>
      <c r="B15" s="8" t="inlineStr">
        <is>
          <t>BCTI</t>
        </is>
      </c>
      <c r="C15" s="7" t="inlineStr">
        <is>
          <t>Clean Petroleum Products</t>
        </is>
      </c>
      <c r="D15" s="7" t="inlineStr">
        <is>
          <t>TC1, TC2_37, TC5, TC6, TC9, TC16</t>
        </is>
      </c>
      <c r="E15" s="9" t="inlineStr">
        <is>
          <t>100.00%</t>
        </is>
      </c>
      <c r="F15" s="10" t="n">
        <v>6</v>
      </c>
      <c r="G15" s="7" t="inlineStr">
        <is>
          <t>Straight Average (1/6 per route) * 4.5407</t>
        </is>
      </c>
    </row>
    <row r="16" ht="20" customHeight="1">
      <c r="A16" s="11" t="inlineStr">
        <is>
          <t>Baltic LPG Index</t>
        </is>
      </c>
      <c r="B16" s="12" t="inlineStr">
        <is>
          <t>BLPG</t>
        </is>
      </c>
      <c r="C16" s="11" t="inlineStr">
        <is>
          <t>Liquid Petroleum Gas</t>
        </is>
      </c>
      <c r="D16" s="11" t="inlineStr">
        <is>
          <t>BLPG1 (MEG-Japan), BLPG2 (USG-Cont), BLPG3 (USG-Japan)</t>
        </is>
      </c>
      <c r="E16" s="13" t="inlineStr">
        <is>
          <t>100.00%</t>
        </is>
      </c>
      <c r="F16" s="14" t="n">
        <v>3</v>
      </c>
      <c r="G16" s="11" t="inlineStr">
        <is>
          <t>Equal Weight (1/3 per route) * 0.1</t>
        </is>
      </c>
    </row>
    <row r="17" ht="20" customHeight="1">
      <c r="A17" s="7" t="inlineStr">
        <is>
          <t>Baltic LNG Assessments</t>
        </is>
      </c>
      <c r="B17" s="8" t="inlineStr">
        <is>
          <t>BLNG</t>
        </is>
      </c>
      <c r="C17" s="7" t="inlineStr">
        <is>
          <t>Liquid Natural Gas</t>
        </is>
      </c>
      <c r="D17" s="7" t="inlineStr">
        <is>
          <t>Gladstone/Tokyo RV, Sabine/UK Cont RV, Sabine/Tokyo RV</t>
        </is>
      </c>
      <c r="E17" s="9" t="inlineStr">
        <is>
          <t>Standalone</t>
        </is>
      </c>
      <c r="F17" s="10" t="n">
        <v>3</v>
      </c>
      <c r="G17" s="7" t="inlineStr">
        <is>
          <t>Individual Route Assessments (USD/day)</t>
        </is>
      </c>
    </row>
    <row r="18" ht="20" customHeight="1">
      <c r="A18" s="11" t="inlineStr">
        <is>
          <t>Baltic Chemical Assessments</t>
        </is>
      </c>
      <c r="B18" s="12" t="inlineStr">
        <is>
          <t>BCAA</t>
        </is>
      </c>
      <c r="C18" s="11" t="inlineStr">
        <is>
          <t>Chemicals &amp; Veg Oils</t>
        </is>
      </c>
      <c r="D18" s="11" t="inlineStr">
        <is>
          <t>NWE, USG, MEG, India, China, Korea, Singapore tradelanes</t>
        </is>
      </c>
      <c r="E18" s="13" t="inlineStr">
        <is>
          <t>Standalone</t>
        </is>
      </c>
      <c r="F18" s="14" t="n">
        <v>11</v>
      </c>
      <c r="G18" s="11" t="inlineStr">
        <is>
          <t>Direct USD/MT Freight Assessments</t>
        </is>
      </c>
    </row>
    <row r="21">
      <c r="A21" s="5" t="inlineStr">
        <is>
          <t>BDI Sector Breakdown (Data for Chart)</t>
        </is>
      </c>
    </row>
    <row r="22">
      <c r="A22" s="15" t="inlineStr">
        <is>
          <t>Sector</t>
        </is>
      </c>
      <c r="B22" s="15" t="inlineStr">
        <is>
          <t>Weight</t>
        </is>
      </c>
    </row>
    <row r="23">
      <c r="A23" s="16" t="inlineStr">
        <is>
          <t>Capesize (BCI)</t>
        </is>
      </c>
      <c r="B23" s="35" t="n">
        <v>0.4</v>
      </c>
    </row>
    <row r="24">
      <c r="A24" s="16" t="inlineStr">
        <is>
          <t>Panamax (BPI)</t>
        </is>
      </c>
      <c r="B24" s="35" t="n">
        <v>0.3</v>
      </c>
    </row>
    <row r="25">
      <c r="A25" s="16" t="inlineStr">
        <is>
          <t>Supramax (BSI)</t>
        </is>
      </c>
      <c r="B25" s="35" t="n">
        <v>0.3</v>
      </c>
    </row>
  </sheetData>
  <mergeCells count="6">
    <mergeCell ref="C4:D5"/>
    <mergeCell ref="A4:B5"/>
    <mergeCell ref="E4:F5"/>
    <mergeCell ref="A1:G1"/>
    <mergeCell ref="G4:G5"/>
    <mergeCell ref="A2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54" customWidth="1" min="4" max="4"/>
    <col width="22" customWidth="1" min="5" max="5"/>
    <col width="24" customWidth="1" min="6" max="6"/>
    <col width="52" customWidth="1" min="7" max="7"/>
  </cols>
  <sheetData>
    <row r="1" ht="34" customHeight="1">
      <c r="A1" s="1" t="inlineStr">
        <is>
          <t>BALTIC DRY INDEX (BDI) — ROUTE-BY-ROUTE ALLOCATION</t>
        </is>
      </c>
    </row>
    <row r="2" ht="20" customHeight="1">
      <c r="A2" s="2" t="inlineStr">
        <is>
          <t>Hierarchical breakdown: Capesize (40%), Panamax (30%), Supramax (30%) across all 21 constituent tradelanes</t>
        </is>
      </c>
    </row>
    <row r="4" ht="26" customHeight="1">
      <c r="A4" s="6" t="inlineStr">
        <is>
          <t>Vessel Class</t>
        </is>
      </c>
      <c r="B4" s="6" t="inlineStr">
        <is>
          <t>Class BDI Share</t>
        </is>
      </c>
      <c r="C4" s="6" t="inlineStr">
        <is>
          <t>Route Code</t>
        </is>
      </c>
      <c r="D4" s="6" t="inlineStr">
        <is>
          <t>Official Route Description (Per Baltic Document)</t>
        </is>
      </c>
      <c r="E4" s="6" t="inlineStr">
        <is>
          <t>Sector Route Weight</t>
        </is>
      </c>
      <c r="F4" s="6" t="inlineStr">
        <is>
          <t>Nominal Top-Level BDI Weight</t>
        </is>
      </c>
      <c r="G4" s="6" t="inlineStr">
        <is>
          <t>Formula &amp; Benchmark Specifications</t>
        </is>
      </c>
    </row>
    <row r="5" ht="20" customHeight="1">
      <c r="A5" s="7" t="inlineStr">
        <is>
          <t>Capesize (40%)</t>
        </is>
      </c>
      <c r="B5" s="18" t="n">
        <v>0.4</v>
      </c>
      <c r="C5" s="8" t="inlineStr">
        <is>
          <t>C8_182</t>
        </is>
      </c>
      <c r="D5" s="7" t="inlineStr">
        <is>
          <t>Gibraltar/Hamburg transatlantic round voyage</t>
        </is>
      </c>
      <c r="E5" s="18" t="n">
        <v>0.15</v>
      </c>
      <c r="F5" s="18">
        <f>B5*E5</f>
        <v/>
      </c>
      <c r="G5" s="7" t="inlineStr">
        <is>
          <t>Standard 182k dwt: 182,000mt on 18.2m SSW draft; Max age 10 yrs</t>
        </is>
      </c>
    </row>
    <row r="6" ht="20" customHeight="1">
      <c r="A6" s="11" t="inlineStr">
        <is>
          <t>Capesize (40%)</t>
        </is>
      </c>
      <c r="B6" s="19" t="n">
        <v>0.4</v>
      </c>
      <c r="C6" s="12" t="inlineStr">
        <is>
          <t>C9_182</t>
        </is>
      </c>
      <c r="D6" s="11" t="inlineStr">
        <is>
          <t>Continent/Mediterranean trip China-Japan</t>
        </is>
      </c>
      <c r="E6" s="19" t="n">
        <v>0.125</v>
      </c>
      <c r="F6" s="19">
        <f>B6*E6</f>
        <v/>
      </c>
      <c r="G6" s="11" t="inlineStr">
        <is>
          <t>14 knots laden / 15 knots ballast on 62mt fuel oil (380cst)</t>
        </is>
      </c>
    </row>
    <row r="7" ht="20" customHeight="1">
      <c r="A7" s="7" t="inlineStr">
        <is>
          <t>Capesize (40%)</t>
        </is>
      </c>
      <c r="B7" s="18" t="n">
        <v>0.4</v>
      </c>
      <c r="C7" s="8" t="inlineStr">
        <is>
          <t>C10_182</t>
        </is>
      </c>
      <c r="D7" s="7" t="inlineStr">
        <is>
          <t>China-Japan transpacific round voyage</t>
        </is>
      </c>
      <c r="E7" s="18" t="n">
        <v>0.35</v>
      </c>
      <c r="F7" s="18">
        <f>B7*E7</f>
        <v/>
      </c>
      <c r="G7" s="7" t="inlineStr">
        <is>
          <t>Highest weighted route across dry bulk (14% nominal BDI weight)</t>
        </is>
      </c>
    </row>
    <row r="8" ht="20" customHeight="1">
      <c r="A8" s="11" t="inlineStr">
        <is>
          <t>Capesize (40%)</t>
        </is>
      </c>
      <c r="B8" s="19" t="n">
        <v>0.4</v>
      </c>
      <c r="C8" s="12" t="inlineStr">
        <is>
          <t>C14_182</t>
        </is>
      </c>
      <c r="D8" s="11" t="inlineStr">
        <is>
          <t>China-Brazil round voyage</t>
        </is>
      </c>
      <c r="E8" s="19" t="n">
        <v>0.25</v>
      </c>
      <c r="F8" s="19">
        <f>B8*E8</f>
        <v/>
      </c>
      <c r="G8" s="11" t="inlineStr">
        <is>
          <t>Key iron ore long-haul trade (10% nominal BDI weight)</t>
        </is>
      </c>
    </row>
    <row r="9" ht="20" customHeight="1">
      <c r="A9" s="7" t="inlineStr">
        <is>
          <t>Capesize (40%)</t>
        </is>
      </c>
      <c r="B9" s="18" t="n">
        <v>0.4</v>
      </c>
      <c r="C9" s="8" t="inlineStr">
        <is>
          <t>C16_182</t>
        </is>
      </c>
      <c r="D9" s="7" t="inlineStr">
        <is>
          <t>Revised backhaul</t>
        </is>
      </c>
      <c r="E9" s="18" t="n">
        <v>0.125</v>
      </c>
      <c r="F9" s="18">
        <f>B9*E9</f>
        <v/>
      </c>
      <c r="G9" s="7" t="inlineStr">
        <is>
          <t>BCI = RoundedSum(C8*0.15, C9*0.125, C10*0.35, C14*0.25, C16*0.125) * 0.11026</t>
        </is>
      </c>
    </row>
    <row r="10" ht="20" customHeight="1">
      <c r="A10" s="11" t="inlineStr">
        <is>
          <t>Panamax (30%)</t>
        </is>
      </c>
      <c r="B10" s="19" t="n">
        <v>0.3</v>
      </c>
      <c r="C10" s="12" t="inlineStr">
        <is>
          <t>P1A_82</t>
        </is>
      </c>
      <c r="D10" s="11" t="inlineStr">
        <is>
          <t>Skaw-Gib transatlantic round voyage</t>
        </is>
      </c>
      <c r="E10" s="19" t="n">
        <v>0.25</v>
      </c>
      <c r="F10" s="19">
        <f>B10*E10</f>
        <v/>
      </c>
      <c r="G10" s="11" t="inlineStr">
        <is>
          <t>Standard 82.5k dwt (Kamsarmax): 82,500mt on 14.43m SSW draft; Max age 12 yrs</t>
        </is>
      </c>
    </row>
    <row r="11" ht="20" customHeight="1">
      <c r="A11" s="7" t="inlineStr">
        <is>
          <t>Panamax (30%)</t>
        </is>
      </c>
      <c r="B11" s="18" t="n">
        <v>0.3</v>
      </c>
      <c r="C11" s="8" t="inlineStr">
        <is>
          <t>P2A_82</t>
        </is>
      </c>
      <c r="D11" s="7" t="inlineStr">
        <is>
          <t>Skaw-Gib trip HK-S Korea incl Taiwan</t>
        </is>
      </c>
      <c r="E11" s="18" t="n">
        <v>0.1</v>
      </c>
      <c r="F11" s="18">
        <f>B11*E11</f>
        <v/>
      </c>
      <c r="G11" s="7" t="inlineStr">
        <is>
          <t>Grain/coal front-haul corridor</t>
        </is>
      </c>
    </row>
    <row r="12" ht="20" customHeight="1">
      <c r="A12" s="11" t="inlineStr">
        <is>
          <t>Panamax (30%)</t>
        </is>
      </c>
      <c r="B12" s="19" t="n">
        <v>0.3</v>
      </c>
      <c r="C12" s="12" t="inlineStr">
        <is>
          <t>P3A_82</t>
        </is>
      </c>
      <c r="D12" s="11" t="inlineStr">
        <is>
          <t>Hong Kong-South Korea transpacific round voyage</t>
        </is>
      </c>
      <c r="E12" s="19" t="n">
        <v>0.25</v>
      </c>
      <c r="F12" s="19">
        <f>B12*E12</f>
        <v/>
      </c>
      <c r="G12" s="11" t="inlineStr">
        <is>
          <t>Transpacific grains and minerals</t>
        </is>
      </c>
    </row>
    <row r="13" ht="20" customHeight="1">
      <c r="A13" s="7" t="inlineStr">
        <is>
          <t>Panamax (30%)</t>
        </is>
      </c>
      <c r="B13" s="18" t="n">
        <v>0.3</v>
      </c>
      <c r="C13" s="8" t="inlineStr">
        <is>
          <t>P4_82</t>
        </is>
      </c>
      <c r="D13" s="7" t="inlineStr">
        <is>
          <t>Hong Kong-South Korea trip to Skaw-Passero</t>
        </is>
      </c>
      <c r="E13" s="18" t="n">
        <v>0.1</v>
      </c>
      <c r="F13" s="18">
        <f>B13*E13</f>
        <v/>
      </c>
      <c r="G13" s="7" t="inlineStr">
        <is>
          <t>Far East to Continent backhaul</t>
        </is>
      </c>
    </row>
    <row r="14" ht="20" customHeight="1">
      <c r="A14" s="11" t="inlineStr">
        <is>
          <t>Panamax (30%)</t>
        </is>
      </c>
      <c r="B14" s="19" t="n">
        <v>0.3</v>
      </c>
      <c r="C14" s="12" t="inlineStr">
        <is>
          <t>P6_82</t>
        </is>
      </c>
      <c r="D14" s="11" t="inlineStr">
        <is>
          <t>Dely Singapore for one round voyage via Atlantic</t>
        </is>
      </c>
      <c r="E14" s="19" t="n">
        <v>0.3</v>
      </c>
      <c r="F14" s="19">
        <f>B14*E14</f>
        <v/>
      </c>
      <c r="G14" s="11" t="inlineStr">
        <is>
          <t>BPI: Sum(P1A*0.02778, P2A*0.01111, P3A*0.02778, P4*0.01111, P6*0.03333)</t>
        </is>
      </c>
    </row>
    <row r="15" ht="20" customHeight="1">
      <c r="A15" s="7" t="inlineStr">
        <is>
          <t>Supramax (30%)</t>
        </is>
      </c>
      <c r="B15" s="18" t="n">
        <v>0.3</v>
      </c>
      <c r="C15" s="8" t="inlineStr">
        <is>
          <t>S1B_63</t>
        </is>
      </c>
      <c r="D15" s="7" t="inlineStr">
        <is>
          <t>Canakkale trip via Med or Bl Sea to China-South Korea</t>
        </is>
      </c>
      <c r="E15" s="18" t="n">
        <v>0.05</v>
      </c>
      <c r="F15" s="18">
        <f>B15*E15</f>
        <v/>
      </c>
      <c r="G15" s="7" t="inlineStr">
        <is>
          <t>Standard BSI63: 63,500mt DWT on 13.418m SSW; 4 x 30 MT cranes</t>
        </is>
      </c>
    </row>
    <row r="16" ht="20" customHeight="1">
      <c r="A16" s="11" t="inlineStr">
        <is>
          <t>Supramax (30%)</t>
        </is>
      </c>
      <c r="B16" s="19" t="n">
        <v>0.3</v>
      </c>
      <c r="C16" s="12" t="inlineStr">
        <is>
          <t>S1C_63</t>
        </is>
      </c>
      <c r="D16" s="11" t="inlineStr">
        <is>
          <t>US Gulf trip to China-south Japan</t>
        </is>
      </c>
      <c r="E16" s="19" t="n">
        <v>0.05</v>
      </c>
      <c r="F16" s="19">
        <f>B16*E16</f>
        <v/>
      </c>
      <c r="G16" s="11" t="inlineStr">
        <is>
          <t>US Gulf front-haul grain trade</t>
        </is>
      </c>
    </row>
    <row r="17" ht="20" customHeight="1">
      <c r="A17" s="7" t="inlineStr">
        <is>
          <t>Supramax (30%)</t>
        </is>
      </c>
      <c r="B17" s="18" t="n">
        <v>0.3</v>
      </c>
      <c r="C17" s="8" t="inlineStr">
        <is>
          <t>S2_63</t>
        </is>
      </c>
      <c r="D17" s="7" t="inlineStr">
        <is>
          <t>North China one Australian or Pacific round voyage</t>
        </is>
      </c>
      <c r="E17" s="18" t="n">
        <v>0.15</v>
      </c>
      <c r="F17" s="18">
        <f>B17*E17</f>
        <v/>
      </c>
      <c r="G17" s="7" t="inlineStr">
        <is>
          <t>Pacific round voyage (minor bulks &amp; coal)</t>
        </is>
      </c>
    </row>
    <row r="18" ht="20" customHeight="1">
      <c r="A18" s="11" t="inlineStr">
        <is>
          <t>Supramax (30%)</t>
        </is>
      </c>
      <c r="B18" s="19" t="n">
        <v>0.3</v>
      </c>
      <c r="C18" s="12" t="inlineStr">
        <is>
          <t>S3_63</t>
        </is>
      </c>
      <c r="D18" s="11" t="inlineStr">
        <is>
          <t>North China trip to West Africa</t>
        </is>
      </c>
      <c r="E18" s="19" t="n">
        <v>0.15</v>
      </c>
      <c r="F18" s="19">
        <f>B18*E18</f>
        <v/>
      </c>
      <c r="G18" s="11" t="inlineStr">
        <is>
          <t>Far East to West Africa front-haul/trade corridor</t>
        </is>
      </c>
    </row>
    <row r="19" ht="20" customHeight="1">
      <c r="A19" s="7" t="inlineStr">
        <is>
          <t>Supramax (30%)</t>
        </is>
      </c>
      <c r="B19" s="18" t="n">
        <v>0.3</v>
      </c>
      <c r="C19" s="8" t="inlineStr">
        <is>
          <t>S4A_63</t>
        </is>
      </c>
      <c r="D19" s="7" t="inlineStr">
        <is>
          <t>US Gulf trip to Skaw-Passero</t>
        </is>
      </c>
      <c r="E19" s="18" t="n">
        <v>0.075</v>
      </c>
      <c r="F19" s="18">
        <f>B19*E19</f>
        <v/>
      </c>
      <c r="G19" s="7" t="inlineStr">
        <is>
          <t>Transatlantic grains / petcoke to Continent</t>
        </is>
      </c>
    </row>
    <row r="20" ht="20" customHeight="1">
      <c r="A20" s="11" t="inlineStr">
        <is>
          <t>Supramax (30%)</t>
        </is>
      </c>
      <c r="B20" s="19" t="n">
        <v>0.3</v>
      </c>
      <c r="C20" s="12" t="inlineStr">
        <is>
          <t>S4B_63</t>
        </is>
      </c>
      <c r="D20" s="11" t="inlineStr">
        <is>
          <t>Skaw-Passero trip to US Gulf</t>
        </is>
      </c>
      <c r="E20" s="19" t="n">
        <v>0.1</v>
      </c>
      <c r="F20" s="19">
        <f>B20*E20</f>
        <v/>
      </c>
      <c r="G20" s="11" t="inlineStr">
        <is>
          <t>Continent to US Gulf backhaul</t>
        </is>
      </c>
    </row>
    <row r="21" ht="20" customHeight="1">
      <c r="A21" s="7" t="inlineStr">
        <is>
          <t>Supramax (30%)</t>
        </is>
      </c>
      <c r="B21" s="18" t="n">
        <v>0.3</v>
      </c>
      <c r="C21" s="8" t="inlineStr">
        <is>
          <t>S5_63</t>
        </is>
      </c>
      <c r="D21" s="7" t="inlineStr">
        <is>
          <t>West Africa trip via east coast South America to north China</t>
        </is>
      </c>
      <c r="E21" s="18" t="n">
        <v>0.05</v>
      </c>
      <c r="F21" s="18">
        <f>B21*E21</f>
        <v/>
      </c>
      <c r="G21" s="7" t="inlineStr">
        <is>
          <t>South Atlantic agri front-haul</t>
        </is>
      </c>
    </row>
    <row r="22" ht="20" customHeight="1">
      <c r="A22" s="11" t="inlineStr">
        <is>
          <t>Supramax (30%)</t>
        </is>
      </c>
      <c r="B22" s="19" t="n">
        <v>0.3</v>
      </c>
      <c r="C22" s="12" t="inlineStr">
        <is>
          <t>S8_63</t>
        </is>
      </c>
      <c r="D22" s="11" t="inlineStr">
        <is>
          <t>South China trip via Indonesia to east coast India</t>
        </is>
      </c>
      <c r="E22" s="19" t="n">
        <v>0.1</v>
      </c>
      <c r="F22" s="19">
        <f>B22*E22</f>
        <v/>
      </c>
      <c r="G22" s="11" t="inlineStr">
        <is>
          <t>Indonesian thermal coal into India</t>
        </is>
      </c>
    </row>
    <row r="23" ht="20" customHeight="1">
      <c r="A23" s="7" t="inlineStr">
        <is>
          <t>Supramax (30%)</t>
        </is>
      </c>
      <c r="B23" s="18" t="n">
        <v>0.3</v>
      </c>
      <c r="C23" s="8" t="inlineStr">
        <is>
          <t>S9_63</t>
        </is>
      </c>
      <c r="D23" s="7" t="inlineStr">
        <is>
          <t>West Africa trip via east coast South America to Skaw-Passero</t>
        </is>
      </c>
      <c r="E23" s="18" t="n">
        <v>0.075</v>
      </c>
      <c r="F23" s="18">
        <f>B23*E23</f>
        <v/>
      </c>
      <c r="G23" s="7" t="inlineStr">
        <is>
          <t>Atlantic fertilizer / agri trade</t>
        </is>
      </c>
    </row>
    <row r="24" ht="20" customHeight="1">
      <c r="A24" s="11" t="inlineStr">
        <is>
          <t>Supramax (30%)</t>
        </is>
      </c>
      <c r="B24" s="19" t="n">
        <v>0.3</v>
      </c>
      <c r="C24" s="12" t="inlineStr">
        <is>
          <t>S10_63</t>
        </is>
      </c>
      <c r="D24" s="11" t="inlineStr">
        <is>
          <t>South China trip via Indonesia to south China</t>
        </is>
      </c>
      <c r="E24" s="19" t="n">
        <v>0.1</v>
      </c>
      <c r="F24" s="19">
        <f>B24*E24</f>
        <v/>
      </c>
      <c r="G24" s="11" t="inlineStr">
        <is>
          <t>Intra-Asian coal / minerals</t>
        </is>
      </c>
    </row>
    <row r="25" ht="20" customHeight="1">
      <c r="A25" s="7" t="inlineStr">
        <is>
          <t>Supramax (30%)</t>
        </is>
      </c>
      <c r="B25" s="18" t="n">
        <v>0.3</v>
      </c>
      <c r="C25" s="8" t="inlineStr">
        <is>
          <t>S15_63</t>
        </is>
      </c>
      <c r="D25" s="7" t="inlineStr">
        <is>
          <t>Indian Ocean trip via South Africa to the Far East</t>
        </is>
      </c>
      <c r="E25" s="18" t="n">
        <v>0.1</v>
      </c>
      <c r="F25" s="18">
        <f>B25*E25</f>
        <v/>
      </c>
      <c r="G25" s="7" t="inlineStr">
        <is>
          <t>BSI = Sum(...) * 0.079112625 (BS163 Standard)</t>
        </is>
      </c>
    </row>
    <row r="26" ht="22" customHeight="1">
      <c r="A26" s="20" t="inlineStr">
        <is>
          <t>BALTIC DRY INDEX (BDI) TOTAL</t>
        </is>
      </c>
      <c r="B26" s="21">
        <f>0.40+0.30+0.30</f>
        <v/>
      </c>
      <c r="C26" s="22" t="n"/>
      <c r="D26" s="22" t="n"/>
      <c r="E26" s="22" t="n"/>
      <c r="F26" s="21">
        <f>SUM(F5:F25)</f>
        <v/>
      </c>
      <c r="G26" s="23" t="inlineStr">
        <is>
          <t>100.00% nominal weight across 21 constituent tradelanes. Weights apply to $/day time-charter values, so actual daily influence also scales with each route's rate level.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30" customWidth="1" min="4" max="4"/>
    <col width="20" customWidth="1" min="5" max="5"/>
    <col width="22" customWidth="1" min="6" max="6"/>
  </cols>
  <sheetData>
    <row r="1" ht="34" customHeight="1">
      <c r="A1" s="1" t="inlineStr">
        <is>
          <t>BALTIC TANKER INDICES — ROUTE ALLOCATION (DIRTY &amp; CLEAN)</t>
        </is>
      </c>
    </row>
    <row r="2" ht="20" customHeight="1">
      <c r="A2" s="2" t="inlineStr">
        <is>
          <t>Complete breakdown of Baltic Dirty Tanker Index (BDTI) and Baltic Clean Tanker Index (BCTI) routes</t>
        </is>
      </c>
    </row>
    <row r="4" ht="24" customHeight="1">
      <c r="A4" s="5" t="inlineStr">
        <is>
          <t>1. Baltic Dirty Tanker Index (BDTI) — Route Allocation</t>
        </is>
      </c>
    </row>
    <row r="5" ht="26" customHeight="1">
      <c r="A5" s="6" t="inlineStr">
        <is>
          <t>Index</t>
        </is>
      </c>
      <c r="B5" s="6" t="inlineStr">
        <is>
          <t>Route Code</t>
        </is>
      </c>
      <c r="C5" s="6" t="inlineStr">
        <is>
          <t>Route Description / Trade Corridor</t>
        </is>
      </c>
      <c r="D5" s="6" t="inlineStr">
        <is>
          <t>Vessel Sector</t>
        </is>
      </c>
      <c r="E5" s="6" t="inlineStr">
        <is>
          <t>Weighting Fraction</t>
        </is>
      </c>
      <c r="F5" s="6" t="inlineStr">
        <is>
          <t>Percentage Allocation</t>
        </is>
      </c>
    </row>
    <row r="6" ht="20" customHeight="1">
      <c r="A6" s="14" t="inlineStr">
        <is>
          <t>BDTI</t>
        </is>
      </c>
      <c r="B6" s="12" t="inlineStr">
        <is>
          <t>TD2</t>
        </is>
      </c>
      <c r="C6" s="11" t="inlineStr">
        <is>
          <t>Middle East Gulf to Singapore</t>
        </is>
      </c>
      <c r="D6" s="14" t="inlineStr">
        <is>
          <t>VLCC</t>
        </is>
      </c>
      <c r="E6" s="36" t="n">
        <v>0.09090909090909091</v>
      </c>
      <c r="F6" s="19">
        <f>E6</f>
        <v/>
      </c>
    </row>
    <row r="7" ht="20" customHeight="1">
      <c r="A7" s="10" t="inlineStr">
        <is>
          <t>BDTI</t>
        </is>
      </c>
      <c r="B7" s="8" t="inlineStr">
        <is>
          <t>TD3C</t>
        </is>
      </c>
      <c r="C7" s="7" t="inlineStr">
        <is>
          <t>Middle East Gulf to China</t>
        </is>
      </c>
      <c r="D7" s="10" t="inlineStr">
        <is>
          <t>VLCC</t>
        </is>
      </c>
      <c r="E7" s="37" t="n">
        <v>0.09090909090909091</v>
      </c>
      <c r="F7" s="18">
        <f>E7</f>
        <v/>
      </c>
    </row>
    <row r="8" ht="20" customHeight="1">
      <c r="A8" s="14" t="inlineStr">
        <is>
          <t>BDTI</t>
        </is>
      </c>
      <c r="B8" s="12" t="inlineStr">
        <is>
          <t>TD6</t>
        </is>
      </c>
      <c r="C8" s="11" t="inlineStr">
        <is>
          <t>Black Sea to Mediterranean</t>
        </is>
      </c>
      <c r="D8" s="14" t="inlineStr">
        <is>
          <t>Suezmax</t>
        </is>
      </c>
      <c r="E8" s="36" t="n">
        <v>0.09090909090909091</v>
      </c>
      <c r="F8" s="19">
        <f>E8</f>
        <v/>
      </c>
    </row>
    <row r="9" ht="20" customHeight="1">
      <c r="A9" s="10" t="inlineStr">
        <is>
          <t>BDTI</t>
        </is>
      </c>
      <c r="B9" s="8" t="inlineStr">
        <is>
          <t>TD7</t>
        </is>
      </c>
      <c r="C9" s="7" t="inlineStr">
        <is>
          <t>North Sea to Continent</t>
        </is>
      </c>
      <c r="D9" s="10" t="inlineStr">
        <is>
          <t>Aframax</t>
        </is>
      </c>
      <c r="E9" s="37" t="n">
        <v>0.09090909090909091</v>
      </c>
      <c r="F9" s="18">
        <f>E9</f>
        <v/>
      </c>
    </row>
    <row r="10" ht="20" customHeight="1">
      <c r="A10" s="14" t="inlineStr">
        <is>
          <t>BDTI</t>
        </is>
      </c>
      <c r="B10" s="12" t="inlineStr">
        <is>
          <t>TD8</t>
        </is>
      </c>
      <c r="C10" s="11" t="inlineStr">
        <is>
          <t>Kuwait to Singapore (Crude/DPP heat 135F)</t>
        </is>
      </c>
      <c r="D10" s="14" t="inlineStr">
        <is>
          <t>Aframax</t>
        </is>
      </c>
      <c r="E10" s="36" t="n">
        <v>0.09090909090909091</v>
      </c>
      <c r="F10" s="19">
        <f>E10</f>
        <v/>
      </c>
    </row>
    <row r="11" ht="20" customHeight="1">
      <c r="A11" s="10" t="inlineStr">
        <is>
          <t>BDTI</t>
        </is>
      </c>
      <c r="B11" s="8" t="inlineStr">
        <is>
          <t>TD9</t>
        </is>
      </c>
      <c r="C11" s="7" t="inlineStr">
        <is>
          <t>Caribbean to US Gulf</t>
        </is>
      </c>
      <c r="D11" s="10" t="inlineStr">
        <is>
          <t>Aframax</t>
        </is>
      </c>
      <c r="E11" s="37" t="n">
        <v>0.09090909090909091</v>
      </c>
      <c r="F11" s="18">
        <f>E11</f>
        <v/>
      </c>
    </row>
    <row r="12" ht="20" customHeight="1">
      <c r="A12" s="14" t="inlineStr">
        <is>
          <t>BDTI</t>
        </is>
      </c>
      <c r="B12" s="12" t="inlineStr">
        <is>
          <t>TD14</t>
        </is>
      </c>
      <c r="C12" s="11" t="inlineStr">
        <is>
          <t>South East Asia to east coast Australia</t>
        </is>
      </c>
      <c r="D12" s="14" t="inlineStr">
        <is>
          <t>Aframax</t>
        </is>
      </c>
      <c r="E12" s="36" t="n">
        <v>0.09090909090909091</v>
      </c>
      <c r="F12" s="19">
        <f>E12</f>
        <v/>
      </c>
    </row>
    <row r="13" ht="20" customHeight="1">
      <c r="A13" s="10" t="inlineStr">
        <is>
          <t>BDTI</t>
        </is>
      </c>
      <c r="B13" s="8" t="inlineStr">
        <is>
          <t>TD15</t>
        </is>
      </c>
      <c r="C13" s="7" t="inlineStr">
        <is>
          <t>West Africa to China</t>
        </is>
      </c>
      <c r="D13" s="10" t="inlineStr">
        <is>
          <t>VLCC</t>
        </is>
      </c>
      <c r="E13" s="37" t="n">
        <v>0.09090909090909091</v>
      </c>
      <c r="F13" s="18">
        <f>E13</f>
        <v/>
      </c>
    </row>
    <row r="14" ht="20" customHeight="1">
      <c r="A14" s="14" t="inlineStr">
        <is>
          <t>BDTI</t>
        </is>
      </c>
      <c r="B14" s="12" t="inlineStr">
        <is>
          <t>TD18</t>
        </is>
      </c>
      <c r="C14" s="11" t="inlineStr">
        <is>
          <t>Baltic to UK-Cont</t>
        </is>
      </c>
      <c r="D14" s="14" t="inlineStr">
        <is>
          <t>Aframax</t>
        </is>
      </c>
      <c r="E14" s="36" t="n">
        <v>0.09090909090909091</v>
      </c>
      <c r="F14" s="19">
        <f>E14</f>
        <v/>
      </c>
    </row>
    <row r="15" ht="20" customHeight="1">
      <c r="A15" s="10" t="inlineStr">
        <is>
          <t>BDTI</t>
        </is>
      </c>
      <c r="B15" s="8" t="inlineStr">
        <is>
          <t>TD19</t>
        </is>
      </c>
      <c r="C15" s="7" t="inlineStr">
        <is>
          <t>Cross Mediterranean</t>
        </is>
      </c>
      <c r="D15" s="10" t="inlineStr">
        <is>
          <t>Aframax</t>
        </is>
      </c>
      <c r="E15" s="37" t="n">
        <v>0.09090909090909091</v>
      </c>
      <c r="F15" s="18">
        <f>E15</f>
        <v/>
      </c>
    </row>
    <row r="16" ht="20" customHeight="1">
      <c r="A16" s="14" t="inlineStr">
        <is>
          <t>BDTI</t>
        </is>
      </c>
      <c r="B16" s="12" t="inlineStr">
        <is>
          <t>TD20</t>
        </is>
      </c>
      <c r="C16" s="11" t="inlineStr">
        <is>
          <t>West Africa to UK-Continent</t>
        </is>
      </c>
      <c r="D16" s="14" t="inlineStr">
        <is>
          <t>Suezmax</t>
        </is>
      </c>
      <c r="E16" s="36" t="n">
        <v>0.09090909090909091</v>
      </c>
      <c r="F16" s="19">
        <f>E16</f>
        <v/>
      </c>
    </row>
    <row r="17" ht="22" customHeight="1">
      <c r="A17" s="26" t="inlineStr">
        <is>
          <t>BDTI TOTAL</t>
        </is>
      </c>
      <c r="B17" s="22" t="n"/>
      <c r="C17" s="22" t="n"/>
      <c r="D17" s="22" t="n"/>
      <c r="E17" s="38">
        <f>SUM(E6:E16)</f>
        <v/>
      </c>
      <c r="F17" s="21">
        <f>SUM(F6:F16)</f>
        <v/>
      </c>
    </row>
    <row r="18">
      <c r="A18" s="28" t="inlineStr">
        <is>
          <t>BDTI Formula = RoundedSum(TD2*0.09090909090909091, ..., TD20*0.09090909090909090) * 8.415737054 (11 routes at 1/11 ~ 9.09% each).</t>
        </is>
      </c>
    </row>
    <row r="20" ht="24" customHeight="1">
      <c r="A20" s="5" t="inlineStr">
        <is>
          <t>2. Baltic Clean Tanker Index (BCTI) — Route Allocation</t>
        </is>
      </c>
    </row>
    <row r="21" ht="26" customHeight="1">
      <c r="A21" s="6" t="inlineStr">
        <is>
          <t>Index</t>
        </is>
      </c>
      <c r="B21" s="6" t="inlineStr">
        <is>
          <t>Route Code</t>
        </is>
      </c>
      <c r="C21" s="6" t="inlineStr">
        <is>
          <t>Route Description / Trade Corridor</t>
        </is>
      </c>
      <c r="D21" s="6" t="inlineStr">
        <is>
          <t>Cargo Specification</t>
        </is>
      </c>
      <c r="E21" s="6" t="inlineStr">
        <is>
          <t>Weighting Fraction</t>
        </is>
      </c>
      <c r="F21" s="6" t="inlineStr">
        <is>
          <t>Percentage Allocation</t>
        </is>
      </c>
    </row>
    <row r="22" ht="20" customHeight="1">
      <c r="A22" s="14" t="inlineStr">
        <is>
          <t>BCTI</t>
        </is>
      </c>
      <c r="B22" s="12" t="inlineStr">
        <is>
          <t>TC1</t>
        </is>
      </c>
      <c r="C22" s="11" t="inlineStr">
        <is>
          <t>Middle East Gulf to Japan</t>
        </is>
      </c>
      <c r="D22" s="14" t="inlineStr">
        <is>
          <t>CPP, UNL, naphtha condensate (75k mt)</t>
        </is>
      </c>
      <c r="E22" s="36" t="n">
        <v>0.1666666666666667</v>
      </c>
      <c r="F22" s="19">
        <f>E22</f>
        <v/>
      </c>
    </row>
    <row r="23" ht="20" customHeight="1">
      <c r="A23" s="10" t="inlineStr">
        <is>
          <t>BCTI</t>
        </is>
      </c>
      <c r="B23" s="8" t="inlineStr">
        <is>
          <t>TC2_37</t>
        </is>
      </c>
      <c r="C23" s="7" t="inlineStr">
        <is>
          <t>Continent to US Atlantic coast</t>
        </is>
      </c>
      <c r="D23" s="10" t="inlineStr">
        <is>
          <t>CPP, UNL (37k mt)</t>
        </is>
      </c>
      <c r="E23" s="37" t="n">
        <v>0.1666666666666667</v>
      </c>
      <c r="F23" s="18">
        <f>E23</f>
        <v/>
      </c>
    </row>
    <row r="24" ht="20" customHeight="1">
      <c r="A24" s="14" t="inlineStr">
        <is>
          <t>BCTI</t>
        </is>
      </c>
      <c r="B24" s="12" t="inlineStr">
        <is>
          <t>TC5</t>
        </is>
      </c>
      <c r="C24" s="11" t="inlineStr">
        <is>
          <t>Middle East Gulf to Japan</t>
        </is>
      </c>
      <c r="D24" s="14" t="inlineStr">
        <is>
          <t>CPP, UNL, naphtha condensate (55k mt)</t>
        </is>
      </c>
      <c r="E24" s="36" t="n">
        <v>0.1666666666666667</v>
      </c>
      <c r="F24" s="19">
        <f>E24</f>
        <v/>
      </c>
    </row>
    <row r="25" ht="20" customHeight="1">
      <c r="A25" s="10" t="inlineStr">
        <is>
          <t>BCTI</t>
        </is>
      </c>
      <c r="B25" s="8" t="inlineStr">
        <is>
          <t>TC6</t>
        </is>
      </c>
      <c r="C25" s="7" t="inlineStr">
        <is>
          <t>Algeria to European Mediterranean</t>
        </is>
      </c>
      <c r="D25" s="10" t="inlineStr">
        <is>
          <t>Clean Petroleum Products (30k mt)</t>
        </is>
      </c>
      <c r="E25" s="37" t="n">
        <v>0.1666666666666667</v>
      </c>
      <c r="F25" s="18">
        <f>E25</f>
        <v/>
      </c>
    </row>
    <row r="26" ht="20" customHeight="1">
      <c r="A26" s="14" t="inlineStr">
        <is>
          <t>BCTI</t>
        </is>
      </c>
      <c r="B26" s="12" t="inlineStr">
        <is>
          <t>TC9</t>
        </is>
      </c>
      <c r="C26" s="11" t="inlineStr">
        <is>
          <t>Baltic to UK-Continent</t>
        </is>
      </c>
      <c r="D26" s="14" t="inlineStr">
        <is>
          <t>CPP, UNL, ULSD (30k mt)</t>
        </is>
      </c>
      <c r="E26" s="36" t="n">
        <v>0.1666666666666667</v>
      </c>
      <c r="F26" s="19">
        <f>E26</f>
        <v/>
      </c>
    </row>
    <row r="27" ht="20" customHeight="1">
      <c r="A27" s="10" t="inlineStr">
        <is>
          <t>BCTI</t>
        </is>
      </c>
      <c r="B27" s="8" t="inlineStr">
        <is>
          <t>TC16</t>
        </is>
      </c>
      <c r="C27" s="7" t="inlineStr">
        <is>
          <t>Amsterdam to offshore Lome</t>
        </is>
      </c>
      <c r="D27" s="10" t="inlineStr">
        <is>
          <t>Clean Petroleum Products (60k mt)</t>
        </is>
      </c>
      <c r="E27" s="37" t="n">
        <v>0.1666666666666667</v>
      </c>
      <c r="F27" s="18">
        <f>E27</f>
        <v/>
      </c>
    </row>
    <row r="28" ht="22" customHeight="1">
      <c r="A28" s="26" t="inlineStr">
        <is>
          <t>BCTI TOTAL</t>
        </is>
      </c>
      <c r="B28" s="22" t="n"/>
      <c r="C28" s="22" t="n"/>
      <c r="D28" s="22" t="n"/>
      <c r="E28" s="38">
        <f>SUM(E22:E27)</f>
        <v/>
      </c>
      <c r="F28" s="21">
        <f>SUM(F22:F27)</f>
        <v/>
      </c>
    </row>
    <row r="29">
      <c r="A29" s="28" t="inlineStr">
        <is>
          <t>BCTI Formula = Average(TC1, TC2_37, TC5, TC6, TC9, TC16) * 4.54072288 (6 routes at 1/6 ~ 16.67% each).</t>
        </is>
      </c>
    </row>
  </sheetData>
  <mergeCells count="4">
    <mergeCell ref="A2:F2"/>
    <mergeCell ref="A1:F1"/>
    <mergeCell ref="A18:F18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4" customWidth="1" min="2" max="2"/>
    <col width="44" customWidth="1" min="3" max="3"/>
    <col width="24" customWidth="1" min="4" max="4"/>
    <col width="24" customWidth="1" min="5" max="5"/>
    <col width="22" customWidth="1" min="6" max="6"/>
  </cols>
  <sheetData>
    <row r="1" ht="34" customHeight="1">
      <c r="A1" s="1" t="inlineStr">
        <is>
          <t>BALTIC HANDYSIZE, GAS (LPG/LNG) &amp; CHEMICAL ASSESSMENTS</t>
        </is>
      </c>
    </row>
    <row r="2" ht="20" customHeight="1">
      <c r="A2" s="2" t="inlineStr">
        <is>
          <t>Complete route specifications and weightings for Baltic Handysize (BHSI), Gas (BLPG/BLNG), and Chemical/Agri (BCAA)</t>
        </is>
      </c>
    </row>
    <row r="4" ht="24" customHeight="1">
      <c r="A4" s="5" t="inlineStr">
        <is>
          <t>1. Baltic Handysize Index (BHSI) — 7TC Routes &amp; Weights</t>
        </is>
      </c>
    </row>
    <row r="5" ht="26" customHeight="1">
      <c r="A5" s="6" t="inlineStr">
        <is>
          <t>Route Code</t>
        </is>
      </c>
      <c r="B5" s="6" t="inlineStr">
        <is>
          <t>Route Description / Trade Corridor</t>
        </is>
      </c>
      <c r="C5" s="6" t="inlineStr">
        <is>
          <t>Standard Vessel Specs</t>
        </is>
      </c>
      <c r="D5" s="6" t="inlineStr">
        <is>
          <t>7TC Timecharter Weight</t>
        </is>
      </c>
      <c r="E5" s="6" t="inlineStr">
        <is>
          <t>BHSI Formula Multiplier</t>
        </is>
      </c>
      <c r="F5" s="6" t="inlineStr">
        <is>
          <t>Percentage Allocation</t>
        </is>
      </c>
    </row>
    <row r="6" ht="20" customHeight="1">
      <c r="A6" s="12" t="inlineStr">
        <is>
          <t>HS1_38</t>
        </is>
      </c>
      <c r="B6" s="11" t="inlineStr">
        <is>
          <t>Skaw-Passero trip to Rio de Janeiro-Recalada</t>
        </is>
      </c>
      <c r="C6" s="11" t="inlineStr">
        <is>
          <t>38,200mt DWT, 5 holds/hatches, 4 cranes</t>
        </is>
      </c>
      <c r="D6" s="19" t="n">
        <v>0.125</v>
      </c>
      <c r="E6" s="29" t="inlineStr">
        <is>
          <t>0.006944444</t>
        </is>
      </c>
      <c r="F6" s="19" t="n">
        <v>0.125</v>
      </c>
    </row>
    <row r="7" ht="20" customHeight="1">
      <c r="A7" s="8" t="inlineStr">
        <is>
          <t>HS2_38</t>
        </is>
      </c>
      <c r="B7" s="7" t="inlineStr">
        <is>
          <t>Skaw-Passero trip to Boston-Galveston</t>
        </is>
      </c>
      <c r="C7" s="7" t="inlineStr">
        <is>
          <t>38,200mt DWT, 14k laden on 26mt IFO</t>
        </is>
      </c>
      <c r="D7" s="18" t="n">
        <v>0.125</v>
      </c>
      <c r="E7" s="30" t="inlineStr">
        <is>
          <t>0.006944444</t>
        </is>
      </c>
      <c r="F7" s="18" t="n">
        <v>0.125</v>
      </c>
    </row>
    <row r="8" ht="20" customHeight="1">
      <c r="A8" s="12" t="inlineStr">
        <is>
          <t>HS3_38</t>
        </is>
      </c>
      <c r="B8" s="11" t="inlineStr">
        <is>
          <t>Rio de Janeiro-Recalada trip to Skaw-Passero</t>
        </is>
      </c>
      <c r="C8" s="11" t="inlineStr">
        <is>
          <t>38,200mt DWT, 47,125 cbm grain</t>
        </is>
      </c>
      <c r="D8" s="19" t="n">
        <v>0.125</v>
      </c>
      <c r="E8" s="29" t="inlineStr">
        <is>
          <t>0.006944444</t>
        </is>
      </c>
      <c r="F8" s="19" t="n">
        <v>0.125</v>
      </c>
    </row>
    <row r="9" ht="20" customHeight="1">
      <c r="A9" s="8" t="inlineStr">
        <is>
          <t>HS4_38</t>
        </is>
      </c>
      <c r="B9" s="7" t="inlineStr">
        <is>
          <t>US Gulf trip via US Gulf or north coast South America to Skaw-Passero</t>
        </is>
      </c>
      <c r="C9" s="7" t="inlineStr">
        <is>
          <t>38,200mt DWT, 12k laden on 18mt IFO</t>
        </is>
      </c>
      <c r="D9" s="18" t="n">
        <v>0.125</v>
      </c>
      <c r="E9" s="30" t="inlineStr">
        <is>
          <t>0.006944444</t>
        </is>
      </c>
      <c r="F9" s="18" t="n">
        <v>0.125</v>
      </c>
    </row>
    <row r="10" ht="20" customHeight="1">
      <c r="A10" s="12" t="inlineStr">
        <is>
          <t>HS5_38</t>
        </is>
      </c>
      <c r="B10" s="11" t="inlineStr">
        <is>
          <t>South East Asia trip to Singapore-Japan</t>
        </is>
      </c>
      <c r="C10" s="11" t="inlineStr">
        <is>
          <t>38,200mt DWT, non-scrubber standard</t>
        </is>
      </c>
      <c r="D10" s="19" t="n">
        <v>0.2</v>
      </c>
      <c r="E10" s="29" t="inlineStr">
        <is>
          <t>0.011111111</t>
        </is>
      </c>
      <c r="F10" s="19" t="n">
        <v>0.2</v>
      </c>
    </row>
    <row r="11" ht="20" customHeight="1">
      <c r="A11" s="8" t="inlineStr">
        <is>
          <t>HS6_38</t>
        </is>
      </c>
      <c r="B11" s="7" t="inlineStr">
        <is>
          <t>North China-South Korea-Japan trip to North China-South Korea-Japan</t>
        </is>
      </c>
      <c r="C11" s="7" t="inlineStr">
        <is>
          <t>38,200mt DWT, Intra-Far East trade</t>
        </is>
      </c>
      <c r="D11" s="18" t="n">
        <v>0.2</v>
      </c>
      <c r="E11" s="30" t="inlineStr">
        <is>
          <t>0.011111111</t>
        </is>
      </c>
      <c r="F11" s="18" t="n">
        <v>0.2</v>
      </c>
    </row>
    <row r="12" ht="20" customHeight="1">
      <c r="A12" s="12" t="inlineStr">
        <is>
          <t>HS7_38</t>
        </is>
      </c>
      <c r="B12" s="11" t="inlineStr">
        <is>
          <t>North China-South Korea-Japan trip to south east Asia</t>
        </is>
      </c>
      <c r="C12" s="11" t="inlineStr">
        <is>
          <t>38,200mt DWT, Far East backhaul</t>
        </is>
      </c>
      <c r="D12" s="19" t="n">
        <v>0.1</v>
      </c>
      <c r="E12" s="29" t="inlineStr">
        <is>
          <t>0.005555556</t>
        </is>
      </c>
      <c r="F12" s="19" t="n">
        <v>0.1</v>
      </c>
    </row>
    <row r="13" ht="22" customHeight="1">
      <c r="A13" s="26" t="inlineStr">
        <is>
          <t>BHSI TOTAL</t>
        </is>
      </c>
      <c r="B13" s="22" t="n"/>
      <c r="C13" s="22" t="n"/>
      <c r="D13" s="21">
        <f>SUM(D6:D12)</f>
        <v/>
      </c>
      <c r="E13" s="22" t="n"/>
      <c r="F13" s="21">
        <f>SUM(F6:F12)</f>
        <v/>
      </c>
    </row>
    <row r="15" ht="24" customHeight="1">
      <c r="A15" s="5" t="inlineStr">
        <is>
          <t>2. Baltic Gas Indices (BLPG &amp; BLNG)</t>
        </is>
      </c>
    </row>
    <row r="16" ht="26" customHeight="1">
      <c r="A16" s="6" t="inlineStr">
        <is>
          <t>Index</t>
        </is>
      </c>
      <c r="B16" s="6" t="inlineStr">
        <is>
          <t>Route Code</t>
        </is>
      </c>
      <c r="C16" s="6" t="inlineStr">
        <is>
          <t>Route Description / Trade Corridor</t>
        </is>
      </c>
      <c r="D16" s="6" t="inlineStr">
        <is>
          <t>Cargo / Vessel Type</t>
        </is>
      </c>
      <c r="E16" s="6" t="inlineStr">
        <is>
          <t>Route Weighting</t>
        </is>
      </c>
      <c r="F16" s="6" t="inlineStr">
        <is>
          <t>Percentage Allocation</t>
        </is>
      </c>
    </row>
    <row r="17" ht="20" customHeight="1">
      <c r="A17" s="8" t="inlineStr">
        <is>
          <t>BLPG</t>
        </is>
      </c>
      <c r="B17" s="8" t="inlineStr">
        <is>
          <t>BLPG1</t>
        </is>
      </c>
      <c r="C17" s="7" t="inlineStr">
        <is>
          <t>Middle East Gulf to Japan</t>
        </is>
      </c>
      <c r="D17" s="7" t="inlineStr">
        <is>
          <t>Very Large Gas Carrier (VLGC)</t>
        </is>
      </c>
      <c r="E17" s="18" t="n">
        <v>0.3333333333333333</v>
      </c>
      <c r="F17" s="18" t="n">
        <v>0.3333333333333333</v>
      </c>
    </row>
    <row r="18" ht="20" customHeight="1">
      <c r="A18" s="12" t="inlineStr">
        <is>
          <t>BLPG</t>
        </is>
      </c>
      <c r="B18" s="12" t="inlineStr">
        <is>
          <t>BLPG2</t>
        </is>
      </c>
      <c r="C18" s="11" t="inlineStr">
        <is>
          <t>US Gulf to Continent</t>
        </is>
      </c>
      <c r="D18" s="11" t="inlineStr">
        <is>
          <t>Very Large Gas Carrier (VLGC)</t>
        </is>
      </c>
      <c r="E18" s="19" t="n">
        <v>0.3333333333333333</v>
      </c>
      <c r="F18" s="19" t="n">
        <v>0.3333333333333333</v>
      </c>
    </row>
    <row r="19" ht="20" customHeight="1">
      <c r="A19" s="8" t="inlineStr">
        <is>
          <t>BLPG</t>
        </is>
      </c>
      <c r="B19" s="8" t="inlineStr">
        <is>
          <t>BLPG3</t>
        </is>
      </c>
      <c r="C19" s="7" t="inlineStr">
        <is>
          <t>US Gulf to Japan</t>
        </is>
      </c>
      <c r="D19" s="7" t="inlineStr">
        <is>
          <t>Very Large Gas Carrier (VLGC)</t>
        </is>
      </c>
      <c r="E19" s="18" t="n">
        <v>0.3333333333333333</v>
      </c>
      <c r="F19" s="18" t="n">
        <v>0.3333333333333333</v>
      </c>
    </row>
    <row r="20" ht="20" customHeight="1">
      <c r="A20" s="12" t="inlineStr">
        <is>
          <t>BLNG</t>
        </is>
      </c>
      <c r="B20" s="12" t="inlineStr">
        <is>
          <t>BLNG1</t>
        </is>
      </c>
      <c r="C20" s="11" t="inlineStr">
        <is>
          <t>Gladstone / Tokyo RV</t>
        </is>
      </c>
      <c r="D20" s="11" t="inlineStr">
        <is>
          <t>LNG carrier (Baltic route basis)</t>
        </is>
      </c>
      <c r="E20" s="14" t="inlineStr">
        <is>
          <t>Standalone</t>
        </is>
      </c>
      <c r="F20" s="14" t="inlineStr">
        <is>
          <t>Assessment</t>
        </is>
      </c>
    </row>
    <row r="21" ht="20" customHeight="1">
      <c r="A21" s="8" t="inlineStr">
        <is>
          <t>BLNG</t>
        </is>
      </c>
      <c r="B21" s="8" t="inlineStr">
        <is>
          <t>BLNG2</t>
        </is>
      </c>
      <c r="C21" s="7" t="inlineStr">
        <is>
          <t>Sabine / UK Cont RV</t>
        </is>
      </c>
      <c r="D21" s="7" t="inlineStr">
        <is>
          <t>LNG carrier (Baltic route basis)</t>
        </is>
      </c>
      <c r="E21" s="10" t="inlineStr">
        <is>
          <t>Standalone</t>
        </is>
      </c>
      <c r="F21" s="10" t="inlineStr">
        <is>
          <t>Assessment</t>
        </is>
      </c>
    </row>
    <row r="22" ht="20" customHeight="1">
      <c r="A22" s="12" t="inlineStr">
        <is>
          <t>BLNG</t>
        </is>
      </c>
      <c r="B22" s="12" t="inlineStr">
        <is>
          <t>BLNG3</t>
        </is>
      </c>
      <c r="C22" s="11" t="inlineStr">
        <is>
          <t>Sabine / Tokyo RV</t>
        </is>
      </c>
      <c r="D22" s="11" t="inlineStr">
        <is>
          <t>LNG carrier (Baltic route basis)</t>
        </is>
      </c>
      <c r="E22" s="14" t="inlineStr">
        <is>
          <t>Standalone</t>
        </is>
      </c>
      <c r="F22" s="14" t="inlineStr">
        <is>
          <t>Assessment</t>
        </is>
      </c>
    </row>
    <row r="24" ht="24" customHeight="1">
      <c r="A24" s="5" t="inlineStr">
        <is>
          <t>3. Baltic Chemical and Agricultural Oil Assessments (BCAA) — All 11 Tradelanes</t>
        </is>
      </c>
    </row>
    <row r="25" ht="26" customHeight="1">
      <c r="A25" s="6" t="inlineStr">
        <is>
          <t>Sector</t>
        </is>
      </c>
      <c r="B25" s="6" t="inlineStr">
        <is>
          <t>Route Code</t>
        </is>
      </c>
      <c r="C25" s="6" t="inlineStr">
        <is>
          <t>Route Description / Trade Corridor</t>
        </is>
      </c>
      <c r="D25" s="6" t="inlineStr">
        <is>
          <t>Cargo Parcel Size</t>
        </is>
      </c>
      <c r="E25" s="6" t="inlineStr">
        <is>
          <t>Pricing Basis</t>
        </is>
      </c>
      <c r="F25" s="6" t="inlineStr">
        <is>
          <t>Assessment Nature</t>
        </is>
      </c>
    </row>
    <row r="26" ht="20" customHeight="1">
      <c r="A26" s="14" t="inlineStr">
        <is>
          <t>Chemicals</t>
        </is>
      </c>
      <c r="B26" s="12" t="inlineStr">
        <is>
          <t>EC11</t>
        </is>
      </c>
      <c r="C26" s="11" t="inlineStr">
        <is>
          <t>Northwest Europe to US Gulf</t>
        </is>
      </c>
      <c r="D26" s="14" t="inlineStr">
        <is>
          <t>5,000 mt / 10,000 mt</t>
        </is>
      </c>
      <c r="E26" s="14" t="inlineStr">
        <is>
          <t>USD / Metric Ton</t>
        </is>
      </c>
      <c r="F26" s="14" t="inlineStr">
        <is>
          <t>Direct Spot Assessment</t>
        </is>
      </c>
    </row>
    <row r="27" ht="20" customHeight="1">
      <c r="A27" s="10" t="inlineStr">
        <is>
          <t>Chemicals</t>
        </is>
      </c>
      <c r="B27" s="8" t="inlineStr">
        <is>
          <t>EC22</t>
        </is>
      </c>
      <c r="C27" s="7" t="inlineStr">
        <is>
          <t>Middle East Gulf to West Coast India</t>
        </is>
      </c>
      <c r="D27" s="10" t="inlineStr">
        <is>
          <t>5,000 mt / 10,000 mt</t>
        </is>
      </c>
      <c r="E27" s="10" t="inlineStr">
        <is>
          <t>USD / Metric Ton</t>
        </is>
      </c>
      <c r="F27" s="10" t="inlineStr">
        <is>
          <t>Direct Spot Assessment</t>
        </is>
      </c>
    </row>
    <row r="28" ht="20" customHeight="1">
      <c r="A28" s="14" t="inlineStr">
        <is>
          <t>Chemicals</t>
        </is>
      </c>
      <c r="B28" s="12" t="inlineStr">
        <is>
          <t>EC23</t>
        </is>
      </c>
      <c r="C28" s="11" t="inlineStr">
        <is>
          <t>Middle East Gulf to China</t>
        </is>
      </c>
      <c r="D28" s="14" t="inlineStr">
        <is>
          <t>5,000 mt / 10,000 mt</t>
        </is>
      </c>
      <c r="E28" s="14" t="inlineStr">
        <is>
          <t>USD / Metric Ton</t>
        </is>
      </c>
      <c r="F28" s="14" t="inlineStr">
        <is>
          <t>Direct Spot Assessment</t>
        </is>
      </c>
    </row>
    <row r="29" ht="20" customHeight="1">
      <c r="A29" s="10" t="inlineStr">
        <is>
          <t>Chemicals</t>
        </is>
      </c>
      <c r="B29" s="8" t="inlineStr">
        <is>
          <t>EC34</t>
        </is>
      </c>
      <c r="C29" s="7" t="inlineStr">
        <is>
          <t>US Gulf to Far East</t>
        </is>
      </c>
      <c r="D29" s="10" t="inlineStr">
        <is>
          <t>5,000 mt / 10,000 mt</t>
        </is>
      </c>
      <c r="E29" s="10" t="inlineStr">
        <is>
          <t>USD / Metric Ton</t>
        </is>
      </c>
      <c r="F29" s="10" t="inlineStr">
        <is>
          <t>Direct Spot Assessment</t>
        </is>
      </c>
    </row>
    <row r="30" ht="20" customHeight="1">
      <c r="A30" s="14" t="inlineStr">
        <is>
          <t>Chemicals</t>
        </is>
      </c>
      <c r="B30" s="12" t="inlineStr">
        <is>
          <t>EC35</t>
        </is>
      </c>
      <c r="C30" s="11" t="inlineStr">
        <is>
          <t>US Gulf to Northwest Europe</t>
        </is>
      </c>
      <c r="D30" s="14" t="inlineStr">
        <is>
          <t>5,000 mt / 10,000 mt</t>
        </is>
      </c>
      <c r="E30" s="14" t="inlineStr">
        <is>
          <t>USD / Metric Ton</t>
        </is>
      </c>
      <c r="F30" s="14" t="inlineStr">
        <is>
          <t>Direct Spot Assessment</t>
        </is>
      </c>
    </row>
    <row r="31" ht="20" customHeight="1">
      <c r="A31" s="10" t="inlineStr">
        <is>
          <t>Chemicals</t>
        </is>
      </c>
      <c r="B31" s="8" t="inlineStr">
        <is>
          <t>EC36</t>
        </is>
      </c>
      <c r="C31" s="7" t="inlineStr">
        <is>
          <t>US Gulf to Brazil</t>
        </is>
      </c>
      <c r="D31" s="10" t="inlineStr">
        <is>
          <t>5,000 mt / 10,000 mt</t>
        </is>
      </c>
      <c r="E31" s="10" t="inlineStr">
        <is>
          <t>USD / Metric Ton</t>
        </is>
      </c>
      <c r="F31" s="10" t="inlineStr">
        <is>
          <t>Direct Spot Assessment</t>
        </is>
      </c>
    </row>
    <row r="32" ht="20" customHeight="1">
      <c r="A32" s="14" t="inlineStr">
        <is>
          <t>Chemicals</t>
        </is>
      </c>
      <c r="B32" s="12" t="inlineStr">
        <is>
          <t>EC43</t>
        </is>
      </c>
      <c r="C32" s="11" t="inlineStr">
        <is>
          <t>Singapore to China</t>
        </is>
      </c>
      <c r="D32" s="14" t="inlineStr">
        <is>
          <t>5,000 mt / 10,000 mt</t>
        </is>
      </c>
      <c r="E32" s="14" t="inlineStr">
        <is>
          <t>USD / Metric Ton</t>
        </is>
      </c>
      <c r="F32" s="14" t="inlineStr">
        <is>
          <t>Direct Spot Assessment</t>
        </is>
      </c>
    </row>
    <row r="33" ht="20" customHeight="1">
      <c r="A33" s="10" t="inlineStr">
        <is>
          <t>Chemicals</t>
        </is>
      </c>
      <c r="B33" s="8" t="inlineStr">
        <is>
          <t>EC52</t>
        </is>
      </c>
      <c r="C33" s="7" t="inlineStr">
        <is>
          <t>Korea to West Coast India</t>
        </is>
      </c>
      <c r="D33" s="10" t="inlineStr">
        <is>
          <t>5,000 mt / 10,000 mt</t>
        </is>
      </c>
      <c r="E33" s="10" t="inlineStr">
        <is>
          <t>USD / Metric Ton</t>
        </is>
      </c>
      <c r="F33" s="10" t="inlineStr">
        <is>
          <t>Direct Spot Assessment</t>
        </is>
      </c>
    </row>
    <row r="34" ht="20" customHeight="1">
      <c r="A34" s="14" t="inlineStr">
        <is>
          <t>Chemicals</t>
        </is>
      </c>
      <c r="B34" s="12" t="inlineStr">
        <is>
          <t>EC57</t>
        </is>
      </c>
      <c r="C34" s="11" t="inlineStr">
        <is>
          <t>Korea to Singapore</t>
        </is>
      </c>
      <c r="D34" s="14" t="inlineStr">
        <is>
          <t>5,000 mt / 10,000 mt</t>
        </is>
      </c>
      <c r="E34" s="14" t="inlineStr">
        <is>
          <t>USD / Metric Ton</t>
        </is>
      </c>
      <c r="F34" s="14" t="inlineStr">
        <is>
          <t>Direct Spot Assessment</t>
        </is>
      </c>
    </row>
    <row r="35" ht="20" customHeight="1">
      <c r="A35" s="10" t="inlineStr">
        <is>
          <t>Palm Oil</t>
        </is>
      </c>
      <c r="B35" s="8" t="inlineStr">
        <is>
          <t>PO45</t>
        </is>
      </c>
      <c r="C35" s="7" t="inlineStr">
        <is>
          <t>Singapore Straits to Northwest Europe</t>
        </is>
      </c>
      <c r="D35" s="10" t="inlineStr">
        <is>
          <t>5,000 mt / 10,000 mt</t>
        </is>
      </c>
      <c r="E35" s="10" t="inlineStr">
        <is>
          <t>USD / Metric Ton</t>
        </is>
      </c>
      <c r="F35" s="10" t="inlineStr">
        <is>
          <t>Direct Spot Assessment</t>
        </is>
      </c>
    </row>
    <row r="36" ht="20" customHeight="1">
      <c r="A36" s="14" t="inlineStr">
        <is>
          <t>Veg Oil</t>
        </is>
      </c>
      <c r="B36" s="12" t="inlineStr">
        <is>
          <t>VG62</t>
        </is>
      </c>
      <c r="C36" s="11" t="inlineStr">
        <is>
          <t>EC South America to West Coast India</t>
        </is>
      </c>
      <c r="D36" s="14" t="inlineStr">
        <is>
          <t>40,000 mt</t>
        </is>
      </c>
      <c r="E36" s="14" t="inlineStr">
        <is>
          <t>USD / Metric Ton</t>
        </is>
      </c>
      <c r="F36" s="14" t="inlineStr">
        <is>
          <t>Direct Spot Assessment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2026-09-14T11:32:18Z</dcterms:created>
  <dcterms:modified xmlns:dcterms="http://purl.org/dc/terms/" xmlns:xsi="http://www.w3.org/2001/XMLSchema-instance" xsi:type="dcterms:W3CDTF">2026-09-14T11:41:39Z</dcterms:modified>
</cp:coreProperties>
</file>