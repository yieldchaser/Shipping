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dagcc.sharepoint.com/sites/MRP-AMS-TED/Shared Documents/GTR/WebZip Files/"/>
    </mc:Choice>
  </mc:AlternateContent>
  <xr:revisionPtr revIDLastSave="56" documentId="8_{D5E42450-2855-4A44-AD8D-155DB7860793}" xr6:coauthVersionLast="47" xr6:coauthVersionMax="47" xr10:uidLastSave="{372DC24E-BAD4-4A7A-98EC-45B23A4736DD}"/>
  <bookViews>
    <workbookView xWindow="-120" yWindow="-120" windowWidth="29040" windowHeight="17520" activeTab="1" xr2:uid="{00000000-000D-0000-FFFF-FFFF00000000}"/>
  </bookViews>
  <sheets>
    <sheet name="Data" sheetId="1" r:id="rId1"/>
    <sheet name="New  Table 19" sheetId="6" r:id="rId2"/>
    <sheet name="Figure 19 Redesigned" sheetId="7" r:id="rId3"/>
    <sheet name="Figure 19 table" sheetId="8" r:id="rId4"/>
  </sheets>
  <definedNames>
    <definedName name="_xlnm._FilterDatabase" localSheetId="0" hidden="1">Data!$A$927:$A$932</definedName>
    <definedName name="_xlnm.Print_Area" localSheetId="2">'Figure 19 Redesigned'!$A$1:$M$25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6" l="1"/>
  <c r="D7" i="6"/>
  <c r="C7" i="6"/>
  <c r="B7" i="6"/>
  <c r="A7" i="6"/>
  <c r="E8" i="6"/>
  <c r="D8" i="6"/>
  <c r="C8" i="6"/>
  <c r="B8" i="6"/>
  <c r="A8" i="6"/>
  <c r="J1662" i="1"/>
  <c r="I1675" i="1" s="1"/>
  <c r="H1662" i="1"/>
  <c r="F1662" i="1"/>
  <c r="I1674" i="1"/>
  <c r="G1675" i="1"/>
  <c r="G1674" i="1"/>
  <c r="E1675" i="1"/>
  <c r="E1674" i="1"/>
  <c r="J1661" i="1"/>
  <c r="H1661" i="1"/>
  <c r="F1661" i="1"/>
  <c r="J1660" i="1"/>
  <c r="H1660" i="1"/>
  <c r="F1660" i="1"/>
  <c r="J1659" i="1"/>
  <c r="H1659" i="1"/>
  <c r="F1659" i="1"/>
  <c r="J1658" i="1"/>
  <c r="H1658" i="1"/>
  <c r="F1658" i="1"/>
  <c r="J1657" i="1"/>
  <c r="H1657" i="1"/>
  <c r="F1657" i="1"/>
  <c r="J1656" i="1"/>
  <c r="H1656" i="1"/>
  <c r="F1656" i="1"/>
  <c r="J1655" i="1"/>
  <c r="H1655" i="1"/>
  <c r="F1655" i="1"/>
  <c r="J1654" i="1"/>
  <c r="H1654" i="1"/>
  <c r="F1654" i="1"/>
  <c r="J1653" i="1"/>
  <c r="H1653" i="1"/>
  <c r="F1653" i="1"/>
  <c r="J1652" i="1"/>
  <c r="H1652" i="1"/>
  <c r="F1652" i="1"/>
  <c r="J1651" i="1" l="1"/>
  <c r="H1651" i="1"/>
  <c r="F1651" i="1"/>
  <c r="J1650" i="1"/>
  <c r="H1650" i="1"/>
  <c r="F1650" i="1"/>
  <c r="J1649" i="1"/>
  <c r="H1649" i="1"/>
  <c r="F1649" i="1"/>
  <c r="J1648" i="1"/>
  <c r="H1648" i="1"/>
  <c r="F1648" i="1"/>
  <c r="J1647" i="1"/>
  <c r="H1647" i="1"/>
  <c r="F1647" i="1"/>
  <c r="J1646" i="1"/>
  <c r="H1646" i="1"/>
  <c r="F1646" i="1"/>
  <c r="J1645" i="1"/>
  <c r="H1645" i="1"/>
  <c r="F1645" i="1"/>
  <c r="J1644" i="1" l="1"/>
  <c r="H1644" i="1"/>
  <c r="F1644" i="1"/>
  <c r="J1643" i="1" l="1"/>
  <c r="H1643" i="1"/>
  <c r="F1643" i="1"/>
  <c r="J1642" i="1" l="1"/>
  <c r="H1642" i="1"/>
  <c r="F1642" i="1"/>
  <c r="J1641" i="1"/>
  <c r="H1641" i="1"/>
  <c r="F1641" i="1"/>
  <c r="J1640" i="1"/>
  <c r="H1640" i="1"/>
  <c r="F1640" i="1"/>
  <c r="J1639" i="1"/>
  <c r="H1639" i="1"/>
  <c r="F1639" i="1"/>
  <c r="J1638" i="1"/>
  <c r="H1638" i="1"/>
  <c r="F1638" i="1"/>
  <c r="J1637" i="1"/>
  <c r="H1637" i="1"/>
  <c r="F1637" i="1"/>
  <c r="J1636" i="1"/>
  <c r="H1636" i="1"/>
  <c r="F1636" i="1"/>
  <c r="J1635" i="1"/>
  <c r="H1635" i="1"/>
  <c r="F1635" i="1"/>
  <c r="J1634" i="1"/>
  <c r="H1634" i="1"/>
  <c r="F1634" i="1"/>
  <c r="J1633" i="1"/>
  <c r="H1633" i="1"/>
  <c r="F1633" i="1"/>
  <c r="J1632" i="1"/>
  <c r="H1632" i="1"/>
  <c r="F1632" i="1"/>
  <c r="J1631" i="1"/>
  <c r="H1631" i="1"/>
  <c r="F1631" i="1"/>
  <c r="J1630" i="1"/>
  <c r="H1630" i="1"/>
  <c r="F1630" i="1"/>
  <c r="J1629" i="1"/>
  <c r="H1629" i="1"/>
  <c r="F1629" i="1"/>
  <c r="J1628" i="1"/>
  <c r="H1628" i="1"/>
  <c r="F1628" i="1"/>
  <c r="J1627" i="1"/>
  <c r="H1627" i="1"/>
  <c r="F1627" i="1"/>
  <c r="J1626" i="1"/>
  <c r="H1626" i="1"/>
  <c r="F1626" i="1"/>
  <c r="J1625" i="1"/>
  <c r="H1625" i="1"/>
  <c r="F1625" i="1"/>
  <c r="J1624" i="1"/>
  <c r="H1624" i="1"/>
  <c r="F1624" i="1"/>
  <c r="J1623" i="1"/>
  <c r="H1623" i="1"/>
  <c r="F1623" i="1"/>
  <c r="J1622" i="1"/>
  <c r="H1622" i="1"/>
  <c r="F1622" i="1"/>
  <c r="J1621" i="1"/>
  <c r="H1621" i="1"/>
  <c r="F1621" i="1"/>
  <c r="J1620" i="1"/>
  <c r="H1620" i="1"/>
  <c r="F1620" i="1"/>
  <c r="J1619" i="1"/>
  <c r="H1619" i="1"/>
  <c r="F1619" i="1"/>
  <c r="J1618" i="1"/>
  <c r="H1618" i="1"/>
  <c r="F1618" i="1"/>
  <c r="H1617" i="1"/>
  <c r="J1617" i="1"/>
  <c r="F1617" i="1"/>
  <c r="J1616" i="1"/>
  <c r="H1616" i="1"/>
  <c r="F1616" i="1"/>
  <c r="J1615" i="1"/>
  <c r="H1615" i="1"/>
  <c r="F1615" i="1"/>
  <c r="J1614" i="1" l="1"/>
  <c r="H1614" i="1"/>
  <c r="F1614" i="1"/>
  <c r="J1613" i="1" l="1"/>
  <c r="J1612" i="1"/>
  <c r="J1611" i="1"/>
  <c r="J1610" i="1"/>
  <c r="J1609" i="1"/>
  <c r="J1608" i="1"/>
  <c r="H1613" i="1"/>
  <c r="H1612" i="1"/>
  <c r="H1611" i="1"/>
  <c r="H1610" i="1"/>
  <c r="H1609" i="1"/>
  <c r="H1608" i="1"/>
  <c r="F1613" i="1"/>
  <c r="F1612" i="1"/>
  <c r="F1611" i="1"/>
  <c r="F1610" i="1"/>
  <c r="F1609" i="1"/>
  <c r="F1608" i="1"/>
  <c r="J1607" i="1"/>
  <c r="H1607" i="1"/>
  <c r="F1607" i="1"/>
  <c r="J1606" i="1"/>
  <c r="H1606" i="1"/>
  <c r="F1606" i="1"/>
  <c r="J1605" i="1"/>
  <c r="H1605" i="1"/>
  <c r="F1605" i="1"/>
  <c r="J1604" i="1"/>
  <c r="H1604" i="1"/>
  <c r="F1604" i="1"/>
  <c r="J1603" i="1"/>
  <c r="H1603" i="1"/>
  <c r="F1603" i="1"/>
  <c r="J1602" i="1" l="1"/>
  <c r="H1602" i="1"/>
  <c r="F1602" i="1"/>
  <c r="J1601" i="1"/>
  <c r="H1601" i="1"/>
  <c r="F1601" i="1"/>
  <c r="J1600" i="1"/>
  <c r="H1600" i="1"/>
  <c r="F1600" i="1"/>
  <c r="J1599" i="1"/>
  <c r="H1599" i="1"/>
  <c r="F1599" i="1"/>
  <c r="J1598" i="1"/>
  <c r="H1598" i="1"/>
  <c r="F1598" i="1"/>
  <c r="J1597" i="1"/>
  <c r="H1597" i="1"/>
  <c r="F1597" i="1"/>
  <c r="J1596" i="1"/>
  <c r="H1596" i="1"/>
  <c r="F1596" i="1"/>
  <c r="J1595" i="1"/>
  <c r="H1595" i="1"/>
  <c r="F1595" i="1"/>
  <c r="J1594" i="1"/>
  <c r="H1594" i="1"/>
  <c r="F1594" i="1"/>
  <c r="J1593" i="1"/>
  <c r="H1593" i="1"/>
  <c r="F1593" i="1"/>
  <c r="J1592" i="1"/>
  <c r="H1592" i="1"/>
  <c r="F1592" i="1"/>
  <c r="J1591" i="1"/>
  <c r="H1591" i="1"/>
  <c r="F1591" i="1"/>
  <c r="J1590" i="1" l="1"/>
  <c r="H1590" i="1"/>
  <c r="F1590" i="1"/>
  <c r="J1589" i="1"/>
  <c r="H1589" i="1"/>
  <c r="F1589" i="1"/>
  <c r="J1588" i="1"/>
  <c r="H1588" i="1"/>
  <c r="F1588" i="1"/>
  <c r="J1587" i="1"/>
  <c r="H1587" i="1"/>
  <c r="F1587" i="1"/>
  <c r="J1586" i="1"/>
  <c r="H1586" i="1"/>
  <c r="F1586" i="1"/>
  <c r="J1585" i="1" l="1"/>
  <c r="H1585" i="1"/>
  <c r="F1585" i="1"/>
  <c r="J1584" i="1"/>
  <c r="H1584" i="1"/>
  <c r="F1584" i="1"/>
  <c r="J1583" i="1"/>
  <c r="H1583" i="1"/>
  <c r="F1583" i="1"/>
  <c r="J1582" i="1"/>
  <c r="H1582" i="1"/>
  <c r="F1582" i="1"/>
  <c r="J1581" i="1"/>
  <c r="H1581" i="1"/>
  <c r="F1581" i="1"/>
  <c r="J1580" i="1"/>
  <c r="H1580" i="1"/>
  <c r="F1580" i="1"/>
  <c r="J1579" i="1"/>
  <c r="H1579" i="1"/>
  <c r="F1579" i="1"/>
  <c r="J1578" i="1"/>
  <c r="H1578" i="1"/>
  <c r="F1578" i="1"/>
  <c r="J1577" i="1"/>
  <c r="H1577" i="1"/>
  <c r="F1577" i="1"/>
  <c r="J1576" i="1"/>
  <c r="H1576" i="1"/>
  <c r="F1576" i="1"/>
  <c r="J1575" i="1"/>
  <c r="H1575" i="1"/>
  <c r="F1575" i="1"/>
  <c r="J1574" i="1"/>
  <c r="H1574" i="1"/>
  <c r="F1574" i="1"/>
  <c r="J1573" i="1"/>
  <c r="H1573" i="1"/>
  <c r="F1573" i="1"/>
  <c r="J1572" i="1"/>
  <c r="H1572" i="1"/>
  <c r="F1572" i="1"/>
  <c r="J1571" i="1"/>
  <c r="H1571" i="1"/>
  <c r="F1571" i="1"/>
  <c r="J1570" i="1"/>
  <c r="H1570" i="1"/>
  <c r="F1570" i="1"/>
  <c r="J1569" i="1"/>
  <c r="H1569" i="1"/>
  <c r="F1569" i="1"/>
  <c r="J1568" i="1" l="1"/>
  <c r="H1568" i="1"/>
  <c r="F1568" i="1"/>
  <c r="J1567" i="1"/>
  <c r="H1567" i="1"/>
  <c r="F1567" i="1"/>
  <c r="J1566" i="1"/>
  <c r="H1566" i="1"/>
  <c r="F1566" i="1"/>
  <c r="J1565" i="1"/>
  <c r="H1565" i="1"/>
  <c r="F1565" i="1"/>
  <c r="J1564" i="1"/>
  <c r="H1564" i="1"/>
  <c r="F1564" i="1"/>
  <c r="J1563" i="1"/>
  <c r="H1563" i="1"/>
  <c r="F1563" i="1"/>
  <c r="J1562" i="1"/>
  <c r="H1562" i="1"/>
  <c r="F1562" i="1"/>
  <c r="J1561" i="1"/>
  <c r="H1561" i="1"/>
  <c r="F1561" i="1"/>
  <c r="J1560" i="1"/>
  <c r="H1560" i="1"/>
  <c r="F1560" i="1"/>
  <c r="J1559" i="1"/>
  <c r="H1559" i="1"/>
  <c r="F1559" i="1"/>
  <c r="F1558" i="1"/>
  <c r="J1558" i="1"/>
  <c r="H1558" i="1"/>
  <c r="J1557" i="1" l="1"/>
  <c r="H1557" i="1"/>
  <c r="F1557" i="1"/>
  <c r="H1556" i="1"/>
  <c r="J1556" i="1"/>
  <c r="F1556" i="1"/>
  <c r="J1555" i="1"/>
  <c r="H1555" i="1"/>
  <c r="F1555" i="1"/>
  <c r="J1554" i="1"/>
  <c r="H1554" i="1"/>
  <c r="F1554" i="1"/>
  <c r="J1553" i="1"/>
  <c r="H1553" i="1"/>
  <c r="F1553" i="1"/>
  <c r="J1552" i="1"/>
  <c r="H1552" i="1"/>
  <c r="F1552" i="1"/>
  <c r="J1551" i="1"/>
  <c r="H1551" i="1"/>
  <c r="F1551" i="1"/>
  <c r="J1550" i="1"/>
  <c r="H1550" i="1"/>
  <c r="F1550" i="1"/>
  <c r="J1549" i="1"/>
  <c r="H1549" i="1"/>
  <c r="F1549" i="1"/>
  <c r="J1548" i="1"/>
  <c r="H1548" i="1"/>
  <c r="F1548" i="1"/>
  <c r="J1547" i="1"/>
  <c r="H1547" i="1"/>
  <c r="F1547" i="1"/>
  <c r="J1546" i="1"/>
  <c r="H1546" i="1"/>
  <c r="F1546" i="1"/>
  <c r="J1545" i="1"/>
  <c r="H1545" i="1"/>
  <c r="F1545" i="1"/>
  <c r="J1544" i="1" l="1"/>
  <c r="H1544" i="1"/>
  <c r="F1544" i="1"/>
  <c r="J1543" i="1"/>
  <c r="H1543" i="1"/>
  <c r="F1543" i="1"/>
  <c r="J1542" i="1"/>
  <c r="H1542" i="1"/>
  <c r="F1542" i="1"/>
  <c r="J1541" i="1"/>
  <c r="H1541" i="1"/>
  <c r="F1541" i="1"/>
  <c r="J1540" i="1"/>
  <c r="H1540" i="1"/>
  <c r="F1540" i="1"/>
  <c r="J1539" i="1"/>
  <c r="H1539" i="1"/>
  <c r="F1539" i="1"/>
  <c r="J1538" i="1"/>
  <c r="H1538" i="1"/>
  <c r="F1538" i="1"/>
  <c r="J1537" i="1"/>
  <c r="H1537" i="1"/>
  <c r="F1537" i="1"/>
  <c r="J1536" i="1"/>
  <c r="H1536" i="1"/>
  <c r="F1536" i="1"/>
  <c r="J1535" i="1"/>
  <c r="H1535" i="1"/>
  <c r="F1535" i="1"/>
  <c r="J1534" i="1"/>
  <c r="H1534" i="1"/>
  <c r="F1534" i="1"/>
  <c r="J1533" i="1"/>
  <c r="H1533" i="1"/>
  <c r="F1533" i="1"/>
  <c r="J1532" i="1"/>
  <c r="H1532" i="1"/>
  <c r="F1532" i="1"/>
  <c r="J1531" i="1" l="1"/>
  <c r="H1531" i="1"/>
  <c r="F1531" i="1"/>
  <c r="J1530" i="1"/>
  <c r="H1530" i="1"/>
  <c r="F1530" i="1"/>
  <c r="J1529" i="1"/>
  <c r="H1529" i="1"/>
  <c r="F1529" i="1"/>
  <c r="J1528" i="1"/>
  <c r="H1528" i="1"/>
  <c r="F1528" i="1"/>
  <c r="J1527" i="1"/>
  <c r="H1527" i="1"/>
  <c r="F1527" i="1"/>
  <c r="J1526" i="1"/>
  <c r="H1526" i="1"/>
  <c r="F1526" i="1"/>
  <c r="J1525" i="1"/>
  <c r="H1525" i="1"/>
  <c r="F1525" i="1"/>
  <c r="J1524" i="1"/>
  <c r="H1524" i="1"/>
  <c r="F1524" i="1"/>
  <c r="J1523" i="1"/>
  <c r="H1523" i="1"/>
  <c r="F1523" i="1"/>
  <c r="J1522" i="1"/>
  <c r="H1522" i="1"/>
  <c r="F1522" i="1"/>
  <c r="J1521" i="1"/>
  <c r="H1521" i="1"/>
  <c r="F1521" i="1"/>
  <c r="J1520" i="1"/>
  <c r="H1520" i="1"/>
  <c r="F1520" i="1"/>
  <c r="J1519" i="1"/>
  <c r="H1519" i="1"/>
  <c r="F1519" i="1"/>
  <c r="J1518" i="1"/>
  <c r="H1518" i="1"/>
  <c r="F1518" i="1"/>
  <c r="J1517" i="1"/>
  <c r="H1517" i="1"/>
  <c r="F1517" i="1"/>
  <c r="J1516" i="1" l="1"/>
  <c r="H1516" i="1"/>
  <c r="F1516" i="1"/>
  <c r="H1515" i="1"/>
  <c r="J1515" i="1"/>
  <c r="F1515" i="1"/>
  <c r="J1514" i="1"/>
  <c r="H1514" i="1"/>
  <c r="F1514" i="1"/>
  <c r="J1513" i="1" l="1"/>
  <c r="H1513" i="1"/>
  <c r="F1513" i="1"/>
  <c r="J1512" i="1"/>
  <c r="J1511" i="1"/>
  <c r="H1512" i="1"/>
  <c r="F1512" i="1"/>
  <c r="H1511" i="1"/>
  <c r="F1511" i="1"/>
  <c r="J1510" i="1"/>
  <c r="H1510" i="1"/>
  <c r="F1510" i="1"/>
  <c r="J1509" i="1"/>
  <c r="H1509" i="1"/>
  <c r="F1509" i="1"/>
  <c r="J1508" i="1"/>
  <c r="H1508" i="1"/>
  <c r="F1508" i="1"/>
  <c r="J1507" i="1"/>
  <c r="H1507" i="1"/>
  <c r="F1507" i="1"/>
  <c r="J1506" i="1"/>
  <c r="H1506" i="1"/>
  <c r="F1506" i="1"/>
  <c r="J1505" i="1"/>
  <c r="H1505" i="1"/>
  <c r="F1505" i="1"/>
  <c r="J1504" i="1"/>
  <c r="H1504" i="1"/>
  <c r="F1504" i="1"/>
  <c r="J1503" i="1"/>
  <c r="H1503" i="1"/>
  <c r="F1503" i="1"/>
  <c r="J1502" i="1"/>
  <c r="H1502" i="1"/>
  <c r="F1502" i="1"/>
  <c r="J1501" i="1"/>
  <c r="H1501" i="1"/>
  <c r="F1501" i="1"/>
  <c r="J1500" i="1"/>
  <c r="H1500" i="1"/>
  <c r="F1500" i="1"/>
  <c r="J1499" i="1"/>
  <c r="H1499" i="1"/>
  <c r="F1499" i="1"/>
  <c r="J1498" i="1"/>
  <c r="H1498" i="1"/>
  <c r="F1498" i="1"/>
  <c r="J1497" i="1" l="1"/>
  <c r="H1497" i="1"/>
  <c r="F1497" i="1"/>
  <c r="J1496" i="1"/>
  <c r="H1496" i="1"/>
  <c r="F1496" i="1"/>
  <c r="J1495" i="1" l="1"/>
  <c r="H1495" i="1"/>
  <c r="F1495" i="1"/>
  <c r="J1494" i="1"/>
  <c r="H1494" i="1"/>
  <c r="F1494" i="1"/>
  <c r="J1493" i="1" l="1"/>
  <c r="H1493" i="1"/>
  <c r="F1493" i="1"/>
  <c r="J1492" i="1"/>
  <c r="H1492" i="1"/>
  <c r="F1492" i="1"/>
  <c r="J1491" i="1"/>
  <c r="H1491" i="1"/>
  <c r="F1491" i="1"/>
  <c r="J1490" i="1"/>
  <c r="H1490" i="1"/>
  <c r="F1490" i="1"/>
  <c r="J1489" i="1"/>
  <c r="H1489" i="1"/>
  <c r="F1489" i="1"/>
  <c r="J1488" i="1"/>
  <c r="H1488" i="1"/>
  <c r="F1488" i="1"/>
  <c r="J1487" i="1"/>
  <c r="H1487" i="1"/>
  <c r="F1487" i="1"/>
  <c r="J1486" i="1" l="1"/>
  <c r="H1486" i="1"/>
  <c r="F1486" i="1"/>
  <c r="J1485" i="1" l="1"/>
  <c r="H1485" i="1"/>
  <c r="F1485" i="1"/>
  <c r="J1484" i="1" l="1"/>
  <c r="H1484" i="1"/>
  <c r="F1484" i="1"/>
  <c r="J1483" i="1"/>
  <c r="H1483" i="1"/>
  <c r="F1483" i="1"/>
  <c r="J1482" i="1"/>
  <c r="H1482" i="1"/>
  <c r="F1482" i="1"/>
  <c r="J1481" i="1"/>
  <c r="H1481" i="1"/>
  <c r="F1481" i="1"/>
  <c r="J1480" i="1"/>
  <c r="H1480" i="1"/>
  <c r="F1480" i="1"/>
  <c r="J1479" i="1"/>
  <c r="H1479" i="1"/>
  <c r="F1479" i="1"/>
  <c r="J1478" i="1"/>
  <c r="H1478" i="1"/>
  <c r="F1478" i="1"/>
  <c r="J1477" i="1"/>
  <c r="H1477" i="1"/>
  <c r="F1477" i="1"/>
  <c r="I1669" i="1"/>
  <c r="G1669" i="1"/>
  <c r="E1669" i="1"/>
  <c r="I1758" i="1" l="1"/>
  <c r="G1758" i="1"/>
  <c r="E1758" i="1"/>
  <c r="J1441" i="1"/>
  <c r="I1759" i="1" s="1"/>
  <c r="H1441" i="1"/>
  <c r="G1759" i="1" s="1"/>
  <c r="F1441" i="1"/>
  <c r="E1759" i="1" s="1"/>
  <c r="J1440" i="1"/>
  <c r="H1440" i="1"/>
  <c r="F1440" i="1"/>
  <c r="J1439" i="1"/>
  <c r="H1439" i="1"/>
  <c r="F1439" i="1"/>
  <c r="J1438" i="1"/>
  <c r="H1438" i="1"/>
  <c r="F1438" i="1"/>
  <c r="H1437" i="1"/>
  <c r="J1437" i="1"/>
  <c r="F1437" i="1"/>
  <c r="J1436" i="1"/>
  <c r="H1436" i="1"/>
  <c r="F1436" i="1"/>
  <c r="J1435" i="1"/>
  <c r="H1435" i="1"/>
  <c r="F1435" i="1"/>
  <c r="J1434" i="1"/>
  <c r="H1434" i="1"/>
  <c r="F1434" i="1"/>
  <c r="J1433" i="1"/>
  <c r="H1433" i="1"/>
  <c r="F1433" i="1"/>
  <c r="J1432" i="1"/>
  <c r="H1432" i="1"/>
  <c r="F1432" i="1"/>
  <c r="J1431" i="1"/>
  <c r="H1431" i="1"/>
  <c r="F1431" i="1"/>
  <c r="J1430" i="1"/>
  <c r="H1430" i="1"/>
  <c r="F1430" i="1"/>
  <c r="J1429" i="1"/>
  <c r="H1429" i="1"/>
  <c r="F1429" i="1"/>
  <c r="J1428" i="1"/>
  <c r="H1428" i="1"/>
  <c r="F1428" i="1"/>
  <c r="J1427" i="1"/>
  <c r="H1427" i="1"/>
  <c r="F1427" i="1"/>
  <c r="J1426" i="1"/>
  <c r="H1426" i="1"/>
  <c r="F1426" i="1"/>
  <c r="J1425" i="1"/>
  <c r="H1425" i="1"/>
  <c r="F1425" i="1"/>
  <c r="J1424" i="1"/>
  <c r="H1424" i="1"/>
  <c r="F1424" i="1"/>
  <c r="J1423" i="1"/>
  <c r="H1423" i="1"/>
  <c r="F1423" i="1"/>
  <c r="J1422" i="1"/>
  <c r="H1422" i="1"/>
  <c r="F1422" i="1"/>
  <c r="J1421" i="1"/>
  <c r="H1421" i="1"/>
  <c r="F1421" i="1"/>
  <c r="J1420" i="1" l="1"/>
  <c r="H1420" i="1"/>
  <c r="F1420" i="1"/>
  <c r="J1419" i="1"/>
  <c r="H1419" i="1"/>
  <c r="F1419" i="1"/>
  <c r="J1418" i="1"/>
  <c r="H1418" i="1"/>
  <c r="F1418" i="1"/>
  <c r="J1417" i="1"/>
  <c r="H1417" i="1"/>
  <c r="F1417" i="1"/>
  <c r="J1416" i="1"/>
  <c r="H1416" i="1"/>
  <c r="F1416" i="1"/>
  <c r="J1415" i="1"/>
  <c r="H1415" i="1"/>
  <c r="F1415" i="1"/>
  <c r="J1414" i="1"/>
  <c r="H1414" i="1"/>
  <c r="F1414" i="1"/>
  <c r="J1413" i="1"/>
  <c r="H1413" i="1"/>
  <c r="F1413" i="1"/>
  <c r="J1412" i="1"/>
  <c r="H1412" i="1"/>
  <c r="F1412" i="1"/>
  <c r="J1411" i="1"/>
  <c r="H1411" i="1"/>
  <c r="F1411" i="1"/>
  <c r="J1410" i="1" l="1"/>
  <c r="H1410" i="1"/>
  <c r="F1410" i="1"/>
  <c r="J1409" i="1" l="1"/>
  <c r="H1409" i="1"/>
  <c r="F1409" i="1"/>
  <c r="J1408" i="1" l="1"/>
  <c r="H1408" i="1"/>
  <c r="F1408" i="1"/>
  <c r="J1407" i="1"/>
  <c r="H1407" i="1"/>
  <c r="F1407" i="1"/>
  <c r="J1406" i="1"/>
  <c r="H1406" i="1"/>
  <c r="F1406" i="1"/>
  <c r="J1405" i="1"/>
  <c r="H1405" i="1"/>
  <c r="F1405" i="1"/>
  <c r="J1404" i="1"/>
  <c r="H1404" i="1"/>
  <c r="F1404" i="1"/>
  <c r="G1753" i="1"/>
  <c r="J1403" i="1"/>
  <c r="H1403" i="1"/>
  <c r="F1403" i="1"/>
  <c r="J1402" i="1"/>
  <c r="H1402" i="1"/>
  <c r="F1402" i="1"/>
  <c r="J1401" i="1"/>
  <c r="H1401" i="1"/>
  <c r="F1401" i="1"/>
  <c r="J1400" i="1"/>
  <c r="H1400" i="1"/>
  <c r="F1400" i="1"/>
  <c r="J1399" i="1"/>
  <c r="H1399" i="1"/>
  <c r="F1399" i="1"/>
  <c r="J1398" i="1"/>
  <c r="H1398" i="1"/>
  <c r="F1398" i="1"/>
  <c r="J1397" i="1"/>
  <c r="H1397" i="1"/>
  <c r="F1397" i="1"/>
  <c r="J1396" i="1"/>
  <c r="H1396" i="1"/>
  <c r="F1396" i="1"/>
  <c r="J1395" i="1"/>
  <c r="H1395" i="1"/>
  <c r="F1395" i="1"/>
  <c r="J1394" i="1"/>
  <c r="H1394" i="1"/>
  <c r="F1394" i="1"/>
  <c r="J1393" i="1"/>
  <c r="H1393" i="1"/>
  <c r="F1393" i="1"/>
  <c r="J1392" i="1"/>
  <c r="H1392" i="1"/>
  <c r="F1392" i="1"/>
  <c r="J1391" i="1" l="1"/>
  <c r="H1391" i="1"/>
  <c r="F1391" i="1"/>
  <c r="J1390" i="1" l="1"/>
  <c r="H1390" i="1"/>
  <c r="F1390" i="1"/>
  <c r="J1389" i="1" l="1"/>
  <c r="H1389" i="1"/>
  <c r="F1389" i="1"/>
  <c r="J1388" i="1" l="1"/>
  <c r="H1388" i="1"/>
  <c r="F1388" i="1"/>
  <c r="J1387" i="1" l="1"/>
  <c r="H1387" i="1"/>
  <c r="F1387" i="1"/>
  <c r="J1386" i="1" l="1"/>
  <c r="H1386" i="1"/>
  <c r="F1386" i="1"/>
  <c r="J1385" i="1" l="1"/>
  <c r="H1385" i="1"/>
  <c r="F1385" i="1"/>
  <c r="J1384" i="1" l="1"/>
  <c r="H1384" i="1"/>
  <c r="F1384" i="1"/>
  <c r="J1383" i="1" l="1"/>
  <c r="H1383" i="1"/>
  <c r="F1383" i="1"/>
  <c r="J1382" i="1" l="1"/>
  <c r="H1382" i="1"/>
  <c r="F1382" i="1"/>
  <c r="J1381" i="1" l="1"/>
  <c r="H1381" i="1"/>
  <c r="F1381" i="1"/>
  <c r="J1380" i="1" l="1"/>
  <c r="H1380" i="1"/>
  <c r="F1380" i="1"/>
  <c r="J1379" i="1" l="1"/>
  <c r="H1379" i="1"/>
  <c r="F1379" i="1"/>
  <c r="J1378" i="1" l="1"/>
  <c r="H1378" i="1"/>
  <c r="F1378" i="1"/>
  <c r="J1377" i="1" l="1"/>
  <c r="H1377" i="1"/>
  <c r="F1377" i="1"/>
  <c r="J1376" i="1" l="1"/>
  <c r="H1376" i="1"/>
  <c r="F1376" i="1"/>
  <c r="J1375" i="1" l="1"/>
  <c r="H1375" i="1"/>
  <c r="F1375" i="1"/>
  <c r="J1374" i="1" l="1"/>
  <c r="H1374" i="1"/>
  <c r="F1374" i="1"/>
  <c r="J1373" i="1" l="1"/>
  <c r="H1373" i="1"/>
  <c r="F1373" i="1"/>
  <c r="J1372" i="1" l="1"/>
  <c r="H1372" i="1"/>
  <c r="F1372" i="1"/>
  <c r="J1371" i="1" l="1"/>
  <c r="H1371" i="1"/>
  <c r="F1371" i="1"/>
  <c r="J1370" i="1" l="1"/>
  <c r="H1370" i="1"/>
  <c r="F1370" i="1"/>
  <c r="J1369" i="1" l="1"/>
  <c r="H1369" i="1"/>
  <c r="F1369" i="1"/>
  <c r="J1368" i="1" l="1"/>
  <c r="H1368" i="1"/>
  <c r="F1368" i="1"/>
  <c r="J1367" i="1" l="1"/>
  <c r="H1367" i="1"/>
  <c r="F1367" i="1"/>
  <c r="J1366" i="1" l="1"/>
  <c r="H1366" i="1"/>
  <c r="F1366" i="1"/>
  <c r="J1365" i="1" l="1"/>
  <c r="H1365" i="1"/>
  <c r="F1365" i="1"/>
  <c r="J1364" i="1" l="1"/>
  <c r="H1364" i="1"/>
  <c r="F1364" i="1"/>
  <c r="J1363" i="1" l="1"/>
  <c r="H1363" i="1"/>
  <c r="F1363" i="1"/>
  <c r="J1362" i="1" l="1"/>
  <c r="H1362" i="1"/>
  <c r="F1362" i="1"/>
  <c r="J1361" i="1" l="1"/>
  <c r="H1361" i="1"/>
  <c r="F1361" i="1"/>
  <c r="J1360" i="1" l="1"/>
  <c r="H1360" i="1"/>
  <c r="F1360" i="1"/>
  <c r="J1359" i="1" l="1"/>
  <c r="H1359" i="1"/>
  <c r="F1359" i="1"/>
  <c r="J1358" i="1" l="1"/>
  <c r="H1358" i="1" l="1"/>
  <c r="F1358" i="1"/>
  <c r="J1357" i="1" l="1"/>
  <c r="H1357" i="1"/>
  <c r="F1357" i="1"/>
  <c r="J1356" i="1" l="1"/>
  <c r="H1356" i="1"/>
  <c r="F1356" i="1"/>
  <c r="J1355" i="1" l="1"/>
  <c r="H1355" i="1"/>
  <c r="F1355" i="1"/>
  <c r="J1354" i="1" l="1"/>
  <c r="H1354" i="1"/>
  <c r="F1354" i="1"/>
  <c r="J1353" i="1" l="1"/>
  <c r="H1353" i="1"/>
  <c r="F1353" i="1"/>
  <c r="J1352" i="1" l="1"/>
  <c r="H1352" i="1"/>
  <c r="F1352" i="1"/>
  <c r="J1351" i="1" l="1"/>
  <c r="H1351" i="1"/>
  <c r="F1351" i="1"/>
  <c r="J1350" i="1" l="1"/>
  <c r="H1350" i="1"/>
  <c r="F1350" i="1"/>
  <c r="J1349" i="1" l="1"/>
  <c r="H1349" i="1"/>
  <c r="F1349" i="1"/>
  <c r="J1348" i="1" l="1"/>
  <c r="H1348" i="1"/>
  <c r="F1348" i="1"/>
  <c r="J1347" i="1" l="1"/>
  <c r="H1347" i="1"/>
  <c r="F1347" i="1"/>
  <c r="J1346" i="1" l="1"/>
  <c r="H1346" i="1"/>
  <c r="F1346" i="1"/>
  <c r="J1345" i="1" l="1"/>
  <c r="H1345" i="1"/>
  <c r="F1345" i="1"/>
  <c r="J1344" i="1" l="1"/>
  <c r="H1344" i="1"/>
  <c r="F1344" i="1"/>
  <c r="J1343" i="1" l="1"/>
  <c r="H1343" i="1"/>
  <c r="F1343" i="1"/>
  <c r="J1342" i="1" l="1"/>
  <c r="H1342" i="1"/>
  <c r="F1342" i="1"/>
  <c r="J1341" i="1" l="1"/>
  <c r="H1341" i="1"/>
  <c r="F1341" i="1"/>
  <c r="J1340" i="1" l="1"/>
  <c r="H1340" i="1"/>
  <c r="F1340" i="1"/>
  <c r="J1339" i="1" l="1"/>
  <c r="H1339" i="1"/>
  <c r="F1339" i="1"/>
  <c r="J1338" i="1" l="1"/>
  <c r="H1338" i="1"/>
  <c r="F1338" i="1"/>
  <c r="J1337" i="1" l="1"/>
  <c r="H1337" i="1"/>
  <c r="F1337" i="1"/>
  <c r="J1336" i="1" l="1"/>
  <c r="H1336" i="1"/>
  <c r="F1336" i="1"/>
  <c r="J1335" i="1" l="1"/>
  <c r="H1335" i="1"/>
  <c r="F1335" i="1"/>
  <c r="J1334" i="1" l="1"/>
  <c r="H1334" i="1"/>
  <c r="F1334" i="1"/>
  <c r="J1333" i="1" l="1"/>
  <c r="H1333" i="1"/>
  <c r="F1333" i="1"/>
  <c r="J1332" i="1" l="1"/>
  <c r="H1332" i="1"/>
  <c r="F1332" i="1"/>
  <c r="J1331" i="1" l="1"/>
  <c r="H1331" i="1"/>
  <c r="F1331" i="1"/>
  <c r="J1330" i="1" l="1"/>
  <c r="H1330" i="1"/>
  <c r="F1330" i="1"/>
  <c r="J1329" i="1" l="1"/>
  <c r="H1329" i="1"/>
  <c r="F1329" i="1"/>
  <c r="J1328" i="1" l="1"/>
  <c r="H1328" i="1"/>
  <c r="F1328" i="1"/>
  <c r="J1327" i="1" l="1"/>
  <c r="H1327" i="1"/>
  <c r="F1327" i="1"/>
  <c r="J1326" i="1" l="1"/>
  <c r="H1326" i="1"/>
  <c r="F1326" i="1"/>
  <c r="J1325" i="1" l="1"/>
  <c r="H1325" i="1"/>
  <c r="F1325" i="1"/>
  <c r="J1324" i="1" l="1"/>
  <c r="H1324" i="1"/>
  <c r="F1324" i="1"/>
  <c r="J1323" i="1" l="1"/>
  <c r="H1323" i="1"/>
  <c r="F1323" i="1"/>
  <c r="J1322" i="1" l="1"/>
  <c r="H1322" i="1"/>
  <c r="F1322" i="1"/>
  <c r="F1321" i="1" l="1"/>
  <c r="J1321" i="1"/>
  <c r="H1321" i="1"/>
  <c r="J1320" i="1" l="1"/>
  <c r="H1320" i="1"/>
  <c r="F1320" i="1"/>
  <c r="J1319" i="1" l="1"/>
  <c r="H1319" i="1"/>
  <c r="F1319" i="1"/>
  <c r="J1318" i="1" l="1"/>
  <c r="H1318" i="1"/>
  <c r="F1318" i="1"/>
  <c r="J1317" i="1" l="1"/>
  <c r="H1317" i="1"/>
  <c r="F1317" i="1"/>
  <c r="J1316" i="1" l="1"/>
  <c r="H1316" i="1"/>
  <c r="F1316" i="1"/>
  <c r="J1315" i="1" l="1"/>
  <c r="H1315" i="1"/>
  <c r="F1315" i="1"/>
  <c r="J1314" i="1" l="1"/>
  <c r="H1314" i="1"/>
  <c r="F1314" i="1"/>
  <c r="J1313" i="1" l="1"/>
  <c r="H1313" i="1"/>
  <c r="F1313" i="1"/>
  <c r="J1312" i="1" l="1"/>
  <c r="H1312" i="1"/>
  <c r="F1312" i="1"/>
  <c r="J1311" i="1" l="1"/>
  <c r="H1311" i="1"/>
  <c r="F1311" i="1"/>
  <c r="J1310" i="1" l="1"/>
  <c r="H1310" i="1"/>
  <c r="F1310" i="1"/>
  <c r="J1309" i="1" l="1"/>
  <c r="H1309" i="1"/>
  <c r="F1309" i="1"/>
  <c r="J1308" i="1" l="1"/>
  <c r="H1308" i="1"/>
  <c r="J1307" i="1" l="1"/>
  <c r="H1307" i="1"/>
  <c r="F1307" i="1"/>
  <c r="J1306" i="1" l="1"/>
  <c r="H1306" i="1"/>
  <c r="F1306" i="1"/>
  <c r="J1305" i="1" l="1"/>
  <c r="H1305" i="1"/>
  <c r="F1305" i="1"/>
  <c r="J1304" i="1" l="1"/>
  <c r="H1304" i="1"/>
  <c r="F1304" i="1"/>
  <c r="J1303" i="1" l="1"/>
  <c r="H1303" i="1"/>
  <c r="F1303" i="1"/>
  <c r="J1302" i="1" l="1"/>
  <c r="H1302" i="1"/>
  <c r="F1302" i="1"/>
  <c r="J1301" i="1" l="1"/>
  <c r="H1301" i="1"/>
  <c r="F1301" i="1"/>
  <c r="H1300" i="1" l="1"/>
  <c r="J1300" i="1" l="1"/>
  <c r="F1300" i="1"/>
  <c r="J1299" i="1" l="1"/>
  <c r="H1299" i="1"/>
  <c r="F1299" i="1"/>
  <c r="J1298" i="1" l="1"/>
  <c r="H1298" i="1"/>
  <c r="F1298" i="1"/>
  <c r="J1297" i="1" l="1"/>
  <c r="H1297" i="1"/>
  <c r="F1297" i="1"/>
  <c r="J1296" i="1" l="1"/>
  <c r="H1296" i="1"/>
  <c r="F1296" i="1"/>
  <c r="J1295" i="1" l="1"/>
  <c r="H1295" i="1"/>
  <c r="F1295" i="1"/>
  <c r="J1294" i="1" l="1"/>
  <c r="H1294" i="1"/>
  <c r="F1294" i="1"/>
  <c r="J1293" i="1" l="1"/>
  <c r="H1293" i="1"/>
  <c r="F1293" i="1"/>
  <c r="J1292" i="1" l="1"/>
  <c r="H1292" i="1"/>
  <c r="F1292" i="1"/>
  <c r="J1291" i="1" l="1"/>
  <c r="H1291" i="1"/>
  <c r="F1291" i="1"/>
  <c r="J1290" i="1" l="1"/>
  <c r="J1289" i="1"/>
  <c r="H1290" i="1"/>
  <c r="F1290" i="1"/>
  <c r="H1289" i="1" l="1"/>
  <c r="F1289" i="1"/>
  <c r="J1288" i="1" l="1"/>
  <c r="H1288" i="1"/>
  <c r="F1288" i="1"/>
  <c r="J1287" i="1" l="1"/>
  <c r="H1287" i="1"/>
  <c r="F1287" i="1"/>
  <c r="J1286" i="1" l="1"/>
  <c r="H1286" i="1"/>
  <c r="F1286" i="1"/>
  <c r="J1285" i="1" l="1"/>
  <c r="H1285" i="1"/>
  <c r="F1285" i="1"/>
  <c r="J1284" i="1" l="1"/>
  <c r="H1284" i="1"/>
  <c r="F1284" i="1"/>
  <c r="J1283" i="1" l="1"/>
  <c r="H1283" i="1"/>
  <c r="F1283" i="1"/>
  <c r="J1282" i="1" l="1"/>
  <c r="H1282" i="1"/>
  <c r="F1282" i="1"/>
  <c r="J1281" i="1" l="1"/>
  <c r="H1281" i="1"/>
  <c r="F1281" i="1"/>
  <c r="J1280" i="1" l="1"/>
  <c r="H1280" i="1"/>
  <c r="F1280" i="1"/>
  <c r="J1279" i="1" l="1"/>
  <c r="H1279" i="1"/>
  <c r="F1279" i="1"/>
  <c r="J1278" i="1" l="1"/>
  <c r="H1278" i="1"/>
  <c r="F1278" i="1"/>
  <c r="J1277" i="1" l="1"/>
  <c r="H1277" i="1"/>
  <c r="F1277" i="1"/>
  <c r="J1276" i="1" l="1"/>
  <c r="H1276" i="1"/>
  <c r="F1276" i="1"/>
  <c r="J1275" i="1" l="1"/>
  <c r="H1275" i="1"/>
  <c r="F1275" i="1"/>
  <c r="J1274" i="1" l="1"/>
  <c r="H1274" i="1"/>
  <c r="F1274" i="1"/>
  <c r="J1273" i="1" l="1"/>
  <c r="H1273" i="1"/>
  <c r="F1273" i="1"/>
  <c r="J1272" i="1" l="1"/>
  <c r="H1272" i="1"/>
  <c r="F1272" i="1"/>
  <c r="J1271" i="1" l="1"/>
  <c r="H1271" i="1"/>
  <c r="F1271" i="1"/>
  <c r="J1270" i="1" l="1"/>
  <c r="H1270" i="1"/>
  <c r="F1270" i="1"/>
  <c r="J1269" i="1" l="1"/>
  <c r="H1269" i="1"/>
  <c r="F1269" i="1"/>
  <c r="J1268" i="1" l="1"/>
  <c r="H1268" i="1"/>
  <c r="F1268" i="1"/>
  <c r="J1267" i="1" l="1"/>
  <c r="H1267" i="1"/>
  <c r="F1267" i="1"/>
  <c r="J1266" i="1" l="1"/>
  <c r="H1266" i="1"/>
  <c r="F1266" i="1"/>
  <c r="J1265" i="1" l="1"/>
  <c r="H1265" i="1"/>
  <c r="F1265" i="1"/>
  <c r="J1264" i="1" l="1"/>
  <c r="H1264" i="1"/>
  <c r="F1264" i="1"/>
  <c r="J1263" i="1" l="1"/>
  <c r="H1263" i="1"/>
  <c r="F1263" i="1"/>
  <c r="J1262" i="1" l="1"/>
  <c r="H1262" i="1"/>
  <c r="F1262" i="1"/>
  <c r="J1261" i="1" l="1"/>
  <c r="H1261" i="1"/>
  <c r="F1261" i="1"/>
  <c r="J1260" i="1" l="1"/>
  <c r="H1260" i="1"/>
  <c r="F1260" i="1"/>
  <c r="J1259" i="1" l="1"/>
  <c r="J1258" i="1"/>
  <c r="J1257" i="1"/>
  <c r="J1256" i="1"/>
  <c r="J1255" i="1"/>
  <c r="J1254" i="1"/>
  <c r="H1259" i="1"/>
  <c r="H1258" i="1"/>
  <c r="H1257" i="1"/>
  <c r="H1256" i="1"/>
  <c r="H1255" i="1"/>
  <c r="H1254" i="1"/>
  <c r="F1259" i="1"/>
  <c r="F1258" i="1"/>
  <c r="F1257" i="1"/>
  <c r="F1255" i="1"/>
  <c r="F1254" i="1"/>
  <c r="F1256" i="1" l="1"/>
  <c r="F1308" i="1"/>
  <c r="J1253" i="1"/>
  <c r="H1253" i="1"/>
  <c r="F1253" i="1"/>
  <c r="J1252" i="1" l="1"/>
  <c r="H1252" i="1"/>
  <c r="F1252" i="1"/>
  <c r="J1251" i="1" l="1"/>
  <c r="H1251" i="1"/>
  <c r="F1251" i="1"/>
  <c r="J1250" i="1" l="1"/>
  <c r="H1250" i="1"/>
  <c r="F1250" i="1"/>
  <c r="J1249" i="1" l="1"/>
  <c r="H1249" i="1"/>
  <c r="F1249" i="1"/>
  <c r="H1248" i="1" l="1"/>
  <c r="H1247" i="1"/>
  <c r="J1248" i="1"/>
  <c r="F1248" i="1"/>
  <c r="J1247" i="1" l="1"/>
  <c r="F1247" i="1"/>
  <c r="J1246" i="1" l="1"/>
  <c r="H1246" i="1"/>
  <c r="F1246" i="1"/>
  <c r="J1245" i="1" l="1"/>
  <c r="H1245" i="1" l="1"/>
  <c r="F1245" i="1"/>
  <c r="J1244" i="1" l="1"/>
  <c r="H1244" i="1"/>
  <c r="F1244" i="1"/>
  <c r="J1243" i="1" l="1"/>
  <c r="H1243" i="1"/>
  <c r="F1243" i="1"/>
  <c r="J1242" i="1" l="1"/>
  <c r="H1242" i="1"/>
  <c r="F1242" i="1"/>
  <c r="J1241" i="1" l="1"/>
  <c r="H1241" i="1"/>
  <c r="F1241" i="1"/>
  <c r="J1240" i="1" l="1"/>
  <c r="H1240" i="1"/>
  <c r="F1240" i="1"/>
  <c r="J1239" i="1" l="1"/>
  <c r="H1239" i="1"/>
  <c r="F1239" i="1"/>
  <c r="J1238" i="1" l="1"/>
  <c r="H1238" i="1"/>
  <c r="F1238" i="1"/>
  <c r="J1237" i="1" l="1"/>
  <c r="H1237" i="1"/>
  <c r="F1237" i="1"/>
  <c r="J1236" i="1" l="1"/>
  <c r="H1236" i="1"/>
  <c r="F1236" i="1"/>
  <c r="J1235" i="1" l="1"/>
  <c r="H1235" i="1"/>
  <c r="F1235" i="1"/>
  <c r="J1234" i="1" l="1"/>
  <c r="H1234" i="1"/>
  <c r="F1234" i="1"/>
  <c r="J1233" i="1" l="1"/>
  <c r="H1233" i="1"/>
  <c r="F1233" i="1"/>
  <c r="J1232" i="1" l="1"/>
  <c r="H1232" i="1"/>
  <c r="F1232" i="1"/>
  <c r="J1231" i="1" l="1"/>
  <c r="H1231" i="1"/>
  <c r="F1231" i="1"/>
  <c r="J1230" i="1" l="1"/>
  <c r="H1230" i="1"/>
  <c r="F1230" i="1"/>
  <c r="J1229" i="1" l="1"/>
  <c r="H1229" i="1"/>
  <c r="F1229" i="1"/>
  <c r="J1228" i="1" l="1"/>
  <c r="H1228" i="1"/>
  <c r="F1228" i="1"/>
  <c r="J1227" i="1" l="1"/>
  <c r="H1227" i="1"/>
  <c r="F1227" i="1"/>
  <c r="H1226" i="1" l="1"/>
  <c r="F1226" i="1"/>
  <c r="J1226" i="1" l="1"/>
  <c r="J1225" i="1"/>
  <c r="H1225" i="1" l="1"/>
  <c r="F1225" i="1"/>
  <c r="J1224" i="1" l="1"/>
  <c r="H1224" i="1"/>
  <c r="F1224" i="1"/>
  <c r="J1223" i="1" l="1"/>
  <c r="H1223" i="1"/>
  <c r="F1223" i="1"/>
  <c r="J1222" i="1" l="1"/>
  <c r="H1222" i="1"/>
  <c r="F1222" i="1"/>
  <c r="J1221" i="1" l="1"/>
  <c r="H1221" i="1"/>
  <c r="F1221" i="1"/>
  <c r="J1220" i="1" l="1"/>
  <c r="H1220" i="1"/>
  <c r="F1220" i="1"/>
  <c r="J1219" i="1" l="1"/>
  <c r="H1219" i="1"/>
  <c r="F1219" i="1"/>
  <c r="J1218" i="1" l="1"/>
  <c r="H1218" i="1"/>
  <c r="F1218" i="1"/>
  <c r="J1217" i="1" l="1"/>
  <c r="H1217" i="1"/>
  <c r="F1217" i="1"/>
  <c r="J1216" i="1" l="1"/>
  <c r="H1216" i="1"/>
  <c r="F1216" i="1"/>
  <c r="J1215" i="1" l="1"/>
  <c r="H1215" i="1"/>
  <c r="F1215" i="1"/>
  <c r="J1214" i="1" l="1"/>
  <c r="H1214" i="1"/>
  <c r="F1214" i="1"/>
  <c r="J1213" i="1" l="1"/>
  <c r="H1213" i="1"/>
  <c r="F1213" i="1"/>
  <c r="J1212" i="1" l="1"/>
  <c r="H1212" i="1"/>
  <c r="F1212" i="1"/>
  <c r="J1211" i="1" l="1"/>
  <c r="H1211" i="1"/>
  <c r="F1211" i="1"/>
  <c r="J1210" i="1" l="1"/>
  <c r="H1210" i="1"/>
  <c r="F1210" i="1"/>
  <c r="J1209" i="1" l="1"/>
  <c r="H1209" i="1"/>
  <c r="F1209" i="1"/>
  <c r="J1208" i="1" l="1"/>
  <c r="H1208" i="1"/>
  <c r="F1208" i="1"/>
  <c r="J1207" i="1" l="1"/>
  <c r="H1207" i="1"/>
  <c r="F1207" i="1"/>
  <c r="F1206" i="1" l="1"/>
  <c r="H1206" i="1"/>
  <c r="J1206" i="1"/>
  <c r="J1205" i="1" l="1"/>
  <c r="H1205" i="1"/>
  <c r="F1205" i="1"/>
  <c r="J1204" i="1" l="1"/>
  <c r="H1204" i="1"/>
  <c r="F1204" i="1"/>
  <c r="J1203" i="1" l="1"/>
  <c r="H1203" i="1"/>
  <c r="F1203" i="1"/>
  <c r="J1202" i="1" l="1"/>
  <c r="H1202" i="1"/>
  <c r="F1202" i="1"/>
  <c r="J1201" i="1" l="1"/>
  <c r="H1201" i="1"/>
  <c r="F1201" i="1"/>
  <c r="J1200" i="1" l="1"/>
  <c r="H1200" i="1"/>
  <c r="F1200" i="1"/>
  <c r="J1199" i="1" l="1"/>
  <c r="H1199" i="1"/>
  <c r="F1199" i="1"/>
  <c r="J1198" i="1" l="1"/>
  <c r="H1198" i="1"/>
  <c r="F1198" i="1"/>
  <c r="J1197" i="1" l="1"/>
  <c r="H1197" i="1"/>
  <c r="F1197" i="1"/>
  <c r="J1196" i="1" l="1"/>
  <c r="H1196" i="1"/>
  <c r="F1196" i="1"/>
  <c r="J1195" i="1" l="1"/>
  <c r="H1195" i="1"/>
  <c r="F1195" i="1"/>
  <c r="J1194" i="1" l="1"/>
  <c r="H1194" i="1"/>
  <c r="F1194" i="1"/>
  <c r="J1193" i="1" l="1"/>
  <c r="H1193" i="1"/>
  <c r="F1193" i="1"/>
  <c r="J1192" i="1" l="1"/>
  <c r="H1192" i="1"/>
  <c r="F1192" i="1"/>
  <c r="J1191" i="1" l="1"/>
  <c r="H1191" i="1"/>
  <c r="F1191" i="1"/>
  <c r="J1190" i="1" l="1"/>
  <c r="H1190" i="1"/>
  <c r="F1190" i="1"/>
  <c r="J1189" i="1" l="1"/>
  <c r="H1189" i="1"/>
  <c r="F1189" i="1"/>
  <c r="J1188" i="1" l="1"/>
  <c r="H1188" i="1"/>
  <c r="F1188" i="1"/>
  <c r="J1187" i="1" l="1"/>
  <c r="H1187" i="1"/>
  <c r="F1187" i="1"/>
  <c r="J1186" i="1" l="1"/>
  <c r="H1186" i="1"/>
  <c r="F1186" i="1"/>
  <c r="J1185" i="1" l="1"/>
  <c r="H1185" i="1"/>
  <c r="F1185" i="1"/>
  <c r="J1184" i="1" l="1"/>
  <c r="H1184" i="1"/>
  <c r="F1184" i="1"/>
  <c r="J1183" i="1" l="1"/>
  <c r="H1183" i="1"/>
  <c r="F1183" i="1"/>
  <c r="J1182" i="1" l="1"/>
  <c r="H1182" i="1"/>
  <c r="F1182" i="1"/>
  <c r="J1181" i="1" l="1"/>
  <c r="H1181" i="1"/>
  <c r="F1181" i="1"/>
  <c r="J1180" i="1" l="1"/>
  <c r="H1180" i="1"/>
  <c r="F1180" i="1"/>
  <c r="J1179" i="1" l="1"/>
  <c r="H1179" i="1"/>
  <c r="F1179" i="1"/>
  <c r="J1178" i="1" l="1"/>
  <c r="H1178" i="1"/>
  <c r="F1178" i="1"/>
  <c r="J1177" i="1" l="1"/>
  <c r="H1177" i="1"/>
  <c r="F1177" i="1"/>
  <c r="J1176" i="1" l="1"/>
  <c r="H1176" i="1"/>
  <c r="F1176" i="1"/>
  <c r="J1175" i="1" l="1"/>
  <c r="H1175" i="1"/>
  <c r="F1175" i="1"/>
  <c r="J1174" i="1" l="1"/>
  <c r="H1174" i="1"/>
  <c r="F1174" i="1"/>
  <c r="J1173" i="1" l="1"/>
  <c r="H1173" i="1"/>
  <c r="F1173" i="1"/>
  <c r="J1172" i="1" l="1"/>
  <c r="H1172" i="1"/>
  <c r="F1172" i="1"/>
  <c r="J1171" i="1" l="1"/>
  <c r="H1171" i="1"/>
  <c r="F1171" i="1"/>
  <c r="J1170" i="1" l="1"/>
  <c r="H1170" i="1"/>
  <c r="F1170" i="1"/>
  <c r="J1169" i="1" l="1"/>
  <c r="H1169" i="1"/>
  <c r="F1169" i="1"/>
  <c r="J1168" i="1" l="1"/>
  <c r="H1168" i="1"/>
  <c r="F1168" i="1"/>
  <c r="J1167" i="1" l="1"/>
  <c r="H1167" i="1"/>
  <c r="F1167" i="1"/>
  <c r="J1166" i="1" l="1"/>
  <c r="H1166" i="1"/>
  <c r="F1166" i="1"/>
  <c r="J1165" i="1" l="1"/>
  <c r="H1165" i="1"/>
  <c r="F1165" i="1"/>
  <c r="J1164" i="1" l="1"/>
  <c r="H1164" i="1"/>
  <c r="F1164" i="1"/>
  <c r="J1163" i="1" l="1"/>
  <c r="H1163" i="1"/>
  <c r="F1163" i="1"/>
  <c r="J1162" i="1" l="1"/>
  <c r="H1162" i="1"/>
  <c r="F1162" i="1"/>
  <c r="J1161" i="1" l="1"/>
  <c r="H1161" i="1"/>
  <c r="F1161" i="1"/>
  <c r="J1160" i="1" l="1"/>
  <c r="H1160" i="1"/>
  <c r="F1160" i="1"/>
  <c r="J1159" i="1" l="1"/>
  <c r="H1159" i="1"/>
  <c r="F1159" i="1"/>
  <c r="J1158" i="1" l="1"/>
  <c r="H1158" i="1"/>
  <c r="F1158" i="1"/>
  <c r="J1157" i="1" l="1"/>
  <c r="H1157" i="1"/>
  <c r="F1157" i="1"/>
  <c r="J1156" i="1" l="1"/>
  <c r="H1156" i="1"/>
  <c r="F1156" i="1"/>
  <c r="J1155" i="1" l="1"/>
  <c r="H1155" i="1"/>
  <c r="F1155" i="1"/>
  <c r="J1154" i="1" l="1"/>
  <c r="H1154" i="1"/>
  <c r="F1154" i="1"/>
  <c r="J1153" i="1" l="1"/>
  <c r="H1153" i="1"/>
  <c r="F1153" i="1"/>
  <c r="J1152" i="1" l="1"/>
  <c r="H1152" i="1"/>
  <c r="F1152" i="1"/>
  <c r="J1151" i="1" l="1"/>
  <c r="H1151" i="1"/>
  <c r="F1151" i="1"/>
  <c r="J1150" i="1" l="1"/>
  <c r="H1150" i="1"/>
  <c r="F1150" i="1"/>
  <c r="J1149" i="1" l="1"/>
  <c r="H1149" i="1"/>
  <c r="F1149" i="1"/>
  <c r="J1148" i="1" l="1"/>
  <c r="H1148" i="1"/>
  <c r="F1148" i="1"/>
  <c r="J1147" i="1" l="1"/>
  <c r="H1147" i="1"/>
  <c r="F1147" i="1"/>
  <c r="J1146" i="1" l="1"/>
  <c r="H1146" i="1"/>
  <c r="F1146" i="1"/>
  <c r="J1145" i="1" l="1"/>
  <c r="H1145" i="1"/>
  <c r="F1145" i="1"/>
  <c r="J1144" i="1" l="1"/>
  <c r="H1144" i="1"/>
  <c r="F1144" i="1"/>
  <c r="J1143" i="1" l="1"/>
  <c r="H1143" i="1"/>
  <c r="F1143" i="1"/>
  <c r="J1142" i="1" l="1"/>
  <c r="H1142" i="1"/>
  <c r="F1142" i="1"/>
  <c r="J1141" i="1" l="1"/>
  <c r="H1141" i="1"/>
  <c r="F1141" i="1"/>
  <c r="J1140" i="1" l="1"/>
  <c r="H1140" i="1"/>
  <c r="F1140" i="1"/>
  <c r="J1139" i="1" l="1"/>
  <c r="H1139" i="1"/>
  <c r="F1139" i="1"/>
  <c r="J1138" i="1" l="1"/>
  <c r="H1138" i="1"/>
  <c r="F1138" i="1"/>
  <c r="J1137" i="1" l="1"/>
  <c r="H1137" i="1" l="1"/>
  <c r="F1137" i="1"/>
  <c r="J1136" i="1" l="1"/>
  <c r="H1136" i="1"/>
  <c r="F1136" i="1"/>
  <c r="J1135" i="1" l="1"/>
  <c r="H1135" i="1"/>
  <c r="F1135" i="1"/>
  <c r="J1134" i="1" l="1"/>
  <c r="H1134" i="1"/>
  <c r="F1134" i="1"/>
  <c r="J1133" i="1" l="1"/>
  <c r="H1133" i="1"/>
  <c r="F1133" i="1"/>
  <c r="J1132" i="1" l="1"/>
  <c r="H1132" i="1"/>
  <c r="F1132" i="1"/>
  <c r="J1131" i="1" l="1"/>
  <c r="H1131" i="1"/>
  <c r="F1131" i="1"/>
  <c r="J1130" i="1" l="1"/>
  <c r="H1130" i="1"/>
  <c r="F1130" i="1"/>
  <c r="J1129" i="1" l="1"/>
  <c r="H1129" i="1"/>
  <c r="F1129" i="1"/>
  <c r="J1128" i="1" l="1"/>
  <c r="H1128" i="1"/>
  <c r="F1128" i="1"/>
  <c r="J1127" i="1" l="1"/>
  <c r="H1127" i="1"/>
  <c r="F1127" i="1"/>
  <c r="J1126" i="1" l="1"/>
  <c r="H1126" i="1"/>
  <c r="F1126" i="1"/>
  <c r="J1125" i="1" l="1"/>
  <c r="H1125" i="1"/>
  <c r="F1125" i="1"/>
  <c r="J1124" i="1" l="1"/>
  <c r="H1124" i="1"/>
  <c r="F1124" i="1"/>
  <c r="J1123" i="1" l="1"/>
  <c r="H1123" i="1"/>
  <c r="F1123" i="1"/>
  <c r="J1122" i="1" l="1"/>
  <c r="H1122" i="1"/>
  <c r="F1122" i="1"/>
  <c r="J1121" i="1" l="1"/>
  <c r="H1121" i="1"/>
  <c r="F1121" i="1"/>
  <c r="J1120" i="1" l="1"/>
  <c r="H1120" i="1"/>
  <c r="F1120" i="1"/>
  <c r="J1119" i="1" l="1"/>
  <c r="H1119" i="1"/>
  <c r="F1119" i="1"/>
  <c r="J1118" i="1" l="1"/>
  <c r="H1118" i="1"/>
  <c r="F1118" i="1"/>
  <c r="J1117" i="1" l="1"/>
  <c r="H1117" i="1"/>
  <c r="F1117" i="1"/>
  <c r="J1116" i="1" l="1"/>
  <c r="H1116" i="1"/>
  <c r="F1116" i="1"/>
  <c r="J1115" i="1" l="1"/>
  <c r="H1115" i="1"/>
  <c r="F1115" i="1"/>
  <c r="J1114" i="1" l="1"/>
  <c r="H1114" i="1"/>
  <c r="F1114" i="1"/>
  <c r="J1113" i="1" l="1"/>
  <c r="H1113" i="1"/>
  <c r="F1113" i="1"/>
  <c r="J1112" i="1" l="1"/>
  <c r="H1112" i="1"/>
  <c r="F1112" i="1"/>
  <c r="J1111" i="1" l="1"/>
  <c r="H1111" i="1"/>
  <c r="F1111" i="1"/>
  <c r="J1110" i="1" l="1"/>
  <c r="H1110" i="1"/>
  <c r="F1110" i="1"/>
  <c r="J1109" i="1" l="1"/>
  <c r="H1109" i="1"/>
  <c r="F1109" i="1"/>
  <c r="J1108" i="1" l="1"/>
  <c r="H1108" i="1"/>
  <c r="F1108" i="1"/>
  <c r="J1107" i="1" l="1"/>
  <c r="H1107" i="1"/>
  <c r="F1107" i="1"/>
  <c r="J1106" i="1" l="1"/>
  <c r="H1106" i="1"/>
  <c r="F1106" i="1"/>
  <c r="J1105" i="1" l="1"/>
  <c r="H1105" i="1"/>
  <c r="F1105" i="1"/>
  <c r="J1104" i="1" l="1"/>
  <c r="H1104" i="1"/>
  <c r="F1104" i="1"/>
  <c r="J1103" i="1" l="1"/>
  <c r="H1103" i="1"/>
  <c r="F1103" i="1"/>
  <c r="J1102" i="1" l="1"/>
  <c r="H1102" i="1"/>
  <c r="F1102" i="1"/>
  <c r="J1101" i="1" l="1"/>
  <c r="H1101" i="1"/>
  <c r="F1101" i="1"/>
  <c r="I1753" i="1" l="1"/>
  <c r="E1753" i="1"/>
  <c r="J1100" i="1"/>
  <c r="H1100" i="1"/>
  <c r="F1100" i="1"/>
  <c r="J1099" i="1" l="1"/>
  <c r="H1099" i="1"/>
  <c r="F1099" i="1"/>
  <c r="J1098" i="1" l="1"/>
  <c r="H1098" i="1"/>
  <c r="F1098" i="1"/>
  <c r="J1097" i="1" l="1"/>
  <c r="H1097" i="1"/>
  <c r="F1097" i="1"/>
  <c r="J1096" i="1" l="1"/>
  <c r="H1096" i="1"/>
  <c r="F1096" i="1"/>
  <c r="J1095" i="1" l="1"/>
  <c r="H1095" i="1"/>
  <c r="F1095" i="1"/>
  <c r="J1094" i="1" l="1"/>
  <c r="H1094" i="1"/>
  <c r="F1094" i="1"/>
  <c r="J1093" i="1" l="1"/>
  <c r="H1093" i="1"/>
  <c r="F1093" i="1"/>
  <c r="J1092" i="1" l="1"/>
  <c r="H1092" i="1"/>
  <c r="F1092" i="1"/>
  <c r="J1091" i="1" l="1"/>
  <c r="H1091" i="1"/>
  <c r="F1091" i="1"/>
  <c r="J1090" i="1" l="1"/>
  <c r="H1090" i="1"/>
  <c r="F1090" i="1"/>
  <c r="J1089" i="1" l="1"/>
  <c r="H1089" i="1"/>
  <c r="F1089" i="1"/>
  <c r="J1088" i="1" l="1"/>
  <c r="H1088" i="1"/>
  <c r="F1088" i="1"/>
  <c r="J1087" i="1" l="1"/>
  <c r="J1086" i="1"/>
  <c r="H1087" i="1"/>
  <c r="F1087" i="1"/>
  <c r="H1086" i="1" l="1"/>
  <c r="F1086" i="1"/>
  <c r="J1085" i="1" l="1"/>
  <c r="H1085" i="1"/>
  <c r="F1085" i="1"/>
  <c r="J1084" i="1" l="1"/>
  <c r="H1084" i="1"/>
  <c r="F1084" i="1"/>
  <c r="J1083" i="1" l="1"/>
  <c r="H1083" i="1"/>
  <c r="F1083" i="1"/>
  <c r="J1082" i="1" l="1"/>
  <c r="H1082" i="1"/>
  <c r="F1082" i="1"/>
  <c r="J1081" i="1" l="1"/>
  <c r="H1081" i="1"/>
  <c r="F1081" i="1"/>
  <c r="J1080" i="1" l="1"/>
  <c r="H1080" i="1"/>
  <c r="F1080" i="1"/>
  <c r="J1079" i="1" l="1"/>
  <c r="H1079" i="1"/>
  <c r="F1079" i="1"/>
  <c r="J1078" i="1" l="1"/>
  <c r="H1078" i="1"/>
  <c r="F1078" i="1"/>
  <c r="J1077" i="1" l="1"/>
  <c r="H1077" i="1"/>
  <c r="F1077" i="1"/>
  <c r="J1076" i="1" l="1"/>
  <c r="H1076" i="1"/>
  <c r="F1076" i="1"/>
  <c r="J1075" i="1" l="1"/>
  <c r="H1075" i="1"/>
  <c r="F1075" i="1"/>
  <c r="J1074" i="1" l="1"/>
  <c r="H1074" i="1"/>
  <c r="F1074" i="1"/>
  <c r="J1073" i="1" l="1"/>
  <c r="H1073" i="1"/>
  <c r="F1073" i="1"/>
  <c r="J1072" i="1" l="1"/>
  <c r="H1072" i="1"/>
  <c r="F1072" i="1"/>
  <c r="J1071" i="1" l="1"/>
  <c r="H1071" i="1"/>
  <c r="F1071" i="1"/>
  <c r="J1070" i="1" l="1"/>
  <c r="H1070" i="1"/>
  <c r="F1070" i="1"/>
  <c r="J1069" i="1" l="1"/>
  <c r="H1069" i="1"/>
  <c r="F1069" i="1"/>
  <c r="F1068" i="1"/>
  <c r="J1068" i="1" l="1"/>
  <c r="H1068" i="1"/>
  <c r="J1067" i="1" l="1"/>
  <c r="H1067" i="1"/>
  <c r="F1067" i="1"/>
  <c r="J1066" i="1" l="1"/>
  <c r="H1066" i="1"/>
  <c r="F1066" i="1"/>
  <c r="J1065" i="1" l="1"/>
  <c r="H1065" i="1"/>
  <c r="F1065" i="1"/>
  <c r="J1064" i="1" l="1"/>
  <c r="H1064" i="1"/>
  <c r="F1064" i="1"/>
  <c r="J1063" i="1" l="1"/>
  <c r="H1063" i="1"/>
  <c r="F1063" i="1"/>
  <c r="J1062" i="1" l="1"/>
  <c r="H1062" i="1"/>
  <c r="F1062" i="1"/>
  <c r="J1061" i="1" l="1"/>
  <c r="H1061" i="1"/>
  <c r="F1061" i="1"/>
  <c r="J1060" i="1" l="1"/>
  <c r="H1060" i="1"/>
  <c r="F1060" i="1"/>
  <c r="J1059" i="1" l="1"/>
  <c r="H1059" i="1"/>
  <c r="F1059" i="1"/>
  <c r="J1058" i="1" l="1"/>
  <c r="H1058" i="1"/>
  <c r="F1058" i="1"/>
  <c r="J1057" i="1" l="1"/>
  <c r="H1057" i="1"/>
  <c r="F1057" i="1"/>
  <c r="J1056" i="1" l="1"/>
  <c r="H1056" i="1"/>
  <c r="F1056" i="1"/>
  <c r="J1055" i="1" l="1"/>
  <c r="H1055" i="1"/>
  <c r="F1055" i="1"/>
  <c r="J1054" i="1" l="1"/>
  <c r="H1054" i="1"/>
  <c r="F1054" i="1"/>
  <c r="J1053" i="1" l="1"/>
  <c r="H1053" i="1"/>
  <c r="F1053" i="1"/>
  <c r="F1052" i="1"/>
  <c r="J1052" i="1" l="1"/>
  <c r="H1052" i="1"/>
  <c r="J1051" i="1" l="1"/>
  <c r="H1051" i="1"/>
  <c r="F1051" i="1"/>
  <c r="J1050" i="1" l="1"/>
  <c r="H1050" i="1"/>
  <c r="F1050" i="1"/>
  <c r="J1049" i="1" l="1"/>
  <c r="H1049" i="1"/>
  <c r="F1048" i="1"/>
  <c r="F1049" i="1"/>
  <c r="J1048" i="1" l="1"/>
  <c r="H1048" i="1"/>
  <c r="J1047" i="1" l="1"/>
  <c r="H1047" i="1"/>
  <c r="F1047" i="1"/>
  <c r="J1046" i="1" l="1"/>
  <c r="H1046" i="1"/>
  <c r="F1046" i="1"/>
  <c r="J1045" i="1" l="1"/>
  <c r="H1045" i="1"/>
  <c r="F1045" i="1"/>
  <c r="J1044" i="1" l="1"/>
  <c r="H1044" i="1"/>
  <c r="F1044" i="1"/>
  <c r="J1043" i="1" l="1"/>
  <c r="H1043" i="1"/>
  <c r="F1043" i="1"/>
  <c r="J1042" i="1" l="1"/>
  <c r="H1042" i="1"/>
  <c r="F1042" i="1"/>
  <c r="J1041" i="1" l="1"/>
  <c r="H1041" i="1"/>
  <c r="F1041" i="1"/>
  <c r="J1040" i="1" l="1"/>
  <c r="H1040" i="1"/>
  <c r="F1040" i="1"/>
  <c r="J1039" i="1" l="1"/>
  <c r="H1039" i="1"/>
  <c r="F1039" i="1"/>
  <c r="J1038" i="1" l="1"/>
  <c r="H1038" i="1"/>
  <c r="F1038" i="1"/>
  <c r="J1037" i="1" l="1"/>
  <c r="H1037" i="1"/>
  <c r="F1037" i="1"/>
  <c r="J1036" i="1" l="1"/>
  <c r="H1036" i="1"/>
  <c r="F1036" i="1"/>
  <c r="J1035" i="1" l="1"/>
  <c r="H1035" i="1"/>
  <c r="F1035" i="1"/>
  <c r="J1034" i="1" l="1"/>
  <c r="H1034" i="1"/>
  <c r="F1034" i="1"/>
  <c r="J1033" i="1" l="1"/>
  <c r="H1033" i="1"/>
  <c r="F1033" i="1"/>
  <c r="J1032" i="1" l="1"/>
  <c r="H1032" i="1"/>
  <c r="F1032" i="1"/>
  <c r="J1031" i="1" l="1"/>
  <c r="H1031" i="1"/>
  <c r="F1031" i="1"/>
  <c r="J1030" i="1" l="1"/>
  <c r="H1030" i="1"/>
  <c r="F1030" i="1"/>
  <c r="J1029" i="1" l="1"/>
  <c r="H1029" i="1"/>
  <c r="F1029" i="1"/>
  <c r="J1028" i="1" l="1"/>
  <c r="H1028" i="1"/>
  <c r="F1028" i="1"/>
  <c r="J1027" i="1" l="1"/>
  <c r="H1027" i="1"/>
  <c r="F1027" i="1"/>
  <c r="J1026" i="1" l="1"/>
  <c r="H1026" i="1"/>
  <c r="F1026" i="1"/>
  <c r="J1025" i="1" l="1"/>
  <c r="H1025" i="1"/>
  <c r="F1025" i="1"/>
  <c r="J1024" i="1" l="1"/>
  <c r="H1024" i="1"/>
  <c r="F1024" i="1"/>
  <c r="J1023" i="1" l="1"/>
  <c r="H1023" i="1"/>
  <c r="F1023" i="1"/>
  <c r="J1022" i="1" l="1"/>
  <c r="H1022" i="1"/>
  <c r="F1022" i="1"/>
  <c r="J1021" i="1" l="1"/>
  <c r="H1021" i="1"/>
  <c r="F1021" i="1"/>
  <c r="J1020" i="1" l="1"/>
  <c r="H1020" i="1"/>
  <c r="F1020" i="1"/>
  <c r="J1019" i="1" l="1"/>
  <c r="J1018" i="1"/>
  <c r="H1019" i="1"/>
  <c r="F1019" i="1"/>
  <c r="H1018" i="1" l="1"/>
  <c r="F1018" i="1"/>
  <c r="J1017" i="1" l="1"/>
  <c r="H1017" i="1"/>
  <c r="F1017" i="1"/>
  <c r="J1016" i="1" l="1"/>
  <c r="H1016" i="1"/>
  <c r="F1016" i="1"/>
  <c r="J1015" i="1" l="1"/>
  <c r="H1015" i="1"/>
  <c r="F1015" i="1"/>
  <c r="J1014" i="1" l="1"/>
  <c r="H1014" i="1"/>
  <c r="F1014" i="1"/>
  <c r="J1013" i="1" l="1"/>
  <c r="H1013" i="1"/>
  <c r="F1013" i="1"/>
  <c r="J1012" i="1" l="1"/>
  <c r="H1012" i="1"/>
  <c r="F1012" i="1"/>
  <c r="J1011" i="1" l="1"/>
  <c r="H1011" i="1"/>
  <c r="F1011" i="1"/>
  <c r="J1010" i="1" l="1"/>
  <c r="H1010" i="1"/>
  <c r="F1010" i="1"/>
  <c r="J1009" i="1" l="1"/>
  <c r="H1009" i="1"/>
  <c r="F1009" i="1"/>
  <c r="J1008" i="1" l="1"/>
  <c r="H1008" i="1"/>
  <c r="F1008" i="1"/>
  <c r="J1007" i="1" l="1"/>
  <c r="H1007" i="1"/>
  <c r="F1007" i="1"/>
  <c r="J1006" i="1" l="1"/>
  <c r="H1006" i="1"/>
  <c r="F1006" i="1"/>
  <c r="J1005" i="1" l="1"/>
  <c r="H1005" i="1"/>
  <c r="F1005" i="1"/>
  <c r="J1004" i="1" l="1"/>
  <c r="H1004" i="1"/>
  <c r="F1004" i="1"/>
  <c r="J1003" i="1" l="1"/>
  <c r="H1003" i="1"/>
  <c r="F1003" i="1"/>
  <c r="J1002" i="1" l="1"/>
  <c r="H1002" i="1"/>
  <c r="F1002" i="1"/>
  <c r="J1001" i="1" l="1"/>
  <c r="H1001" i="1"/>
  <c r="F1001" i="1"/>
  <c r="J1000" i="1" l="1"/>
  <c r="H1000" i="1"/>
  <c r="F1000" i="1"/>
  <c r="J999" i="1" l="1"/>
  <c r="H999" i="1"/>
  <c r="F999" i="1"/>
  <c r="J998" i="1" l="1"/>
  <c r="H998" i="1"/>
  <c r="F998" i="1"/>
  <c r="J997" i="1" l="1"/>
  <c r="H997" i="1"/>
  <c r="F997" i="1"/>
  <c r="J996" i="1" l="1"/>
  <c r="H996" i="1"/>
  <c r="F996" i="1"/>
  <c r="J995" i="1" l="1"/>
  <c r="H995" i="1"/>
  <c r="F995" i="1"/>
  <c r="J994" i="1" l="1"/>
  <c r="H994" i="1"/>
  <c r="F994" i="1"/>
  <c r="J993" i="1" l="1"/>
  <c r="H993" i="1"/>
  <c r="F993" i="1"/>
  <c r="J992" i="1" l="1"/>
  <c r="H992" i="1"/>
  <c r="F992" i="1"/>
  <c r="J991" i="1" l="1"/>
  <c r="H991" i="1"/>
  <c r="F991" i="1"/>
  <c r="J990" i="1" l="1"/>
  <c r="H990" i="1"/>
  <c r="F990" i="1"/>
  <c r="J989" i="1" l="1"/>
  <c r="H989" i="1"/>
  <c r="F989" i="1"/>
  <c r="J988" i="1" l="1"/>
  <c r="H988" i="1"/>
  <c r="F988" i="1"/>
  <c r="J987" i="1" l="1"/>
  <c r="H987" i="1"/>
  <c r="F987" i="1"/>
  <c r="J986" i="1" l="1"/>
  <c r="H986" i="1"/>
  <c r="F986" i="1"/>
  <c r="J985" i="1" l="1"/>
  <c r="H985" i="1"/>
  <c r="F985" i="1"/>
  <c r="J984" i="1" l="1"/>
  <c r="J983" i="1"/>
  <c r="J982" i="1"/>
  <c r="H984" i="1"/>
  <c r="H983" i="1"/>
  <c r="H982" i="1"/>
  <c r="F984" i="1"/>
  <c r="F983" i="1"/>
  <c r="F982" i="1"/>
  <c r="J981" i="1" l="1"/>
  <c r="H981" i="1"/>
  <c r="F981" i="1"/>
  <c r="J980" i="1" l="1"/>
  <c r="H980" i="1"/>
  <c r="F980" i="1"/>
  <c r="J979" i="1" l="1"/>
  <c r="H979" i="1"/>
  <c r="F979" i="1"/>
  <c r="J978" i="1" l="1"/>
  <c r="H978" i="1"/>
  <c r="F978" i="1"/>
  <c r="J977" i="1" l="1"/>
  <c r="H977" i="1"/>
  <c r="F977" i="1"/>
  <c r="J976" i="1" l="1"/>
  <c r="H976" i="1"/>
  <c r="F976" i="1"/>
  <c r="J975" i="1" l="1"/>
  <c r="H975" i="1"/>
  <c r="F975" i="1"/>
  <c r="J974" i="1" l="1"/>
  <c r="H974" i="1"/>
  <c r="F974" i="1"/>
  <c r="J973" i="1" l="1"/>
  <c r="H973" i="1"/>
  <c r="F973" i="1"/>
  <c r="J972" i="1" l="1"/>
  <c r="H972" i="1"/>
  <c r="F972" i="1"/>
  <c r="J971" i="1" l="1"/>
  <c r="H971" i="1"/>
  <c r="F971" i="1"/>
  <c r="J970" i="1" l="1"/>
  <c r="H970" i="1"/>
  <c r="F970" i="1"/>
  <c r="J969" i="1" l="1"/>
  <c r="H969" i="1"/>
  <c r="F969" i="1"/>
  <c r="J968" i="1" l="1"/>
  <c r="H968" i="1"/>
  <c r="F968" i="1"/>
  <c r="J967" i="1" l="1"/>
  <c r="H967" i="1"/>
  <c r="F967" i="1"/>
  <c r="J966" i="1" l="1"/>
  <c r="H966" i="1"/>
  <c r="F966" i="1"/>
  <c r="J965" i="1" l="1"/>
  <c r="H965" i="1"/>
  <c r="F965" i="1"/>
  <c r="J964" i="1" l="1"/>
  <c r="H964" i="1"/>
  <c r="F964" i="1"/>
  <c r="J963" i="1" l="1"/>
  <c r="H963" i="1"/>
  <c r="F963" i="1"/>
  <c r="J962" i="1" l="1"/>
  <c r="H962" i="1"/>
  <c r="F962" i="1"/>
  <c r="J961" i="1" l="1"/>
  <c r="H961" i="1"/>
  <c r="F961" i="1"/>
  <c r="J960" i="1" l="1"/>
  <c r="H960" i="1"/>
  <c r="F960" i="1"/>
  <c r="J959" i="1" l="1"/>
  <c r="H959" i="1"/>
  <c r="F959" i="1"/>
  <c r="J958" i="1" l="1"/>
  <c r="H958" i="1"/>
  <c r="F958" i="1"/>
  <c r="J957" i="1" l="1"/>
  <c r="H957" i="1"/>
  <c r="F957" i="1"/>
  <c r="J956" i="1" l="1"/>
  <c r="H956" i="1"/>
  <c r="F956" i="1"/>
  <c r="J955" i="1" l="1"/>
  <c r="H955" i="1"/>
  <c r="F955" i="1"/>
  <c r="J954" i="1" l="1"/>
  <c r="H954" i="1"/>
  <c r="F954" i="1"/>
  <c r="J953" i="1" l="1"/>
  <c r="H953" i="1"/>
  <c r="F953" i="1"/>
  <c r="J952" i="1" l="1"/>
  <c r="H952" i="1"/>
  <c r="F952" i="1"/>
  <c r="J951" i="1" l="1"/>
  <c r="H951" i="1"/>
  <c r="F951" i="1"/>
  <c r="J950" i="1" l="1"/>
  <c r="H950" i="1"/>
  <c r="F950" i="1"/>
  <c r="J949" i="1" l="1"/>
  <c r="H949" i="1"/>
  <c r="F949" i="1"/>
  <c r="J948" i="1" l="1"/>
  <c r="H948" i="1"/>
  <c r="F948" i="1"/>
  <c r="J947" i="1" l="1"/>
  <c r="H947" i="1"/>
  <c r="F947" i="1"/>
  <c r="J946" i="1" l="1"/>
  <c r="H946" i="1"/>
  <c r="F946" i="1"/>
  <c r="J945" i="1" l="1"/>
  <c r="H945" i="1"/>
  <c r="F945" i="1"/>
  <c r="J944" i="1" l="1"/>
  <c r="H944" i="1"/>
  <c r="F944" i="1"/>
  <c r="J943" i="1" l="1"/>
  <c r="H943" i="1"/>
  <c r="F943" i="1"/>
  <c r="J942" i="1" l="1"/>
  <c r="H942" i="1"/>
  <c r="F942" i="1"/>
  <c r="J941" i="1" l="1"/>
  <c r="H941" i="1"/>
  <c r="F941" i="1"/>
  <c r="J940" i="1" l="1"/>
  <c r="H940" i="1"/>
  <c r="F940" i="1"/>
  <c r="J939" i="1" l="1"/>
  <c r="H939" i="1"/>
  <c r="F939" i="1"/>
  <c r="J938" i="1" l="1"/>
  <c r="H938" i="1"/>
  <c r="F938" i="1"/>
  <c r="J937" i="1" l="1"/>
  <c r="H937" i="1"/>
  <c r="F937" i="1"/>
  <c r="J936" i="1" l="1"/>
  <c r="H936" i="1"/>
  <c r="F936" i="1"/>
  <c r="J935" i="1" l="1"/>
  <c r="H935" i="1"/>
  <c r="F935" i="1"/>
  <c r="J934" i="1" l="1"/>
  <c r="H934" i="1"/>
  <c r="F934" i="1"/>
  <c r="J933" i="1" l="1"/>
  <c r="H933" i="1"/>
  <c r="F933" i="1"/>
  <c r="J932" i="1" l="1"/>
  <c r="H932" i="1"/>
  <c r="F932" i="1"/>
  <c r="J931" i="1" l="1"/>
  <c r="H931" i="1"/>
  <c r="F931" i="1"/>
  <c r="J930" i="1" l="1"/>
  <c r="H930" i="1"/>
  <c r="F930" i="1"/>
  <c r="J929" i="1" l="1"/>
  <c r="H929" i="1"/>
  <c r="F929" i="1"/>
  <c r="J928" i="1" l="1"/>
  <c r="H928" i="1"/>
  <c r="F928" i="1"/>
  <c r="J927" i="1" l="1"/>
  <c r="H927" i="1"/>
  <c r="F927" i="1"/>
  <c r="J926" i="1" l="1"/>
  <c r="H926" i="1"/>
  <c r="F926" i="1"/>
  <c r="J925" i="1" l="1"/>
  <c r="H925" i="1"/>
  <c r="F925" i="1"/>
  <c r="J924" i="1" l="1"/>
  <c r="H924" i="1"/>
  <c r="F924" i="1"/>
  <c r="J923" i="1" l="1"/>
  <c r="H923" i="1"/>
  <c r="F923" i="1"/>
  <c r="J922" i="1" l="1"/>
  <c r="H922" i="1"/>
  <c r="F922" i="1"/>
  <c r="J921" i="1" l="1"/>
  <c r="H921" i="1"/>
  <c r="F921" i="1"/>
  <c r="J920" i="1" l="1"/>
  <c r="H920" i="1"/>
  <c r="F920" i="1"/>
  <c r="J919" i="1" l="1"/>
  <c r="H919" i="1"/>
  <c r="F919" i="1"/>
  <c r="J918" i="1" l="1"/>
  <c r="H918" i="1"/>
  <c r="F918" i="1"/>
  <c r="J917" i="1" l="1"/>
  <c r="H917" i="1"/>
  <c r="F917" i="1"/>
  <c r="J916" i="1" l="1"/>
  <c r="H916" i="1"/>
  <c r="F916" i="1"/>
  <c r="J915" i="1" l="1"/>
  <c r="H915" i="1"/>
  <c r="F915" i="1"/>
  <c r="J914" i="1" l="1"/>
  <c r="J913" i="1"/>
  <c r="J912" i="1"/>
  <c r="H914" i="1"/>
  <c r="H913" i="1"/>
  <c r="H912" i="1"/>
  <c r="F914" i="1"/>
  <c r="F913" i="1"/>
  <c r="F912" i="1"/>
  <c r="J911" i="1" l="1"/>
  <c r="H911" i="1"/>
  <c r="F911" i="1"/>
  <c r="J910" i="1" l="1"/>
  <c r="H910" i="1"/>
  <c r="F910" i="1"/>
  <c r="J909" i="1" l="1"/>
  <c r="H909" i="1"/>
  <c r="F909" i="1"/>
  <c r="J908" i="1" l="1"/>
  <c r="H908" i="1"/>
  <c r="F908" i="1"/>
  <c r="J907" i="1" l="1"/>
  <c r="H907" i="1"/>
  <c r="F907" i="1"/>
  <c r="J906" i="1" l="1"/>
  <c r="H906" i="1"/>
  <c r="F906" i="1"/>
  <c r="J905" i="1" l="1"/>
  <c r="H905" i="1"/>
  <c r="F905" i="1"/>
  <c r="J904" i="1" l="1"/>
  <c r="H904" i="1"/>
  <c r="F904" i="1"/>
  <c r="J903" i="1" l="1"/>
  <c r="H903" i="1"/>
  <c r="F903" i="1"/>
  <c r="J902" i="1" l="1"/>
  <c r="H902" i="1"/>
  <c r="F902" i="1"/>
  <c r="J901" i="1" l="1"/>
  <c r="H901" i="1"/>
  <c r="F901" i="1"/>
  <c r="J900" i="1" l="1"/>
  <c r="H900" i="1"/>
  <c r="F900" i="1"/>
  <c r="J899" i="1" l="1"/>
  <c r="H899" i="1"/>
  <c r="F899" i="1"/>
  <c r="J898" i="1" l="1"/>
  <c r="H898" i="1"/>
  <c r="F898" i="1"/>
  <c r="J897" i="1" l="1"/>
  <c r="H897" i="1"/>
  <c r="F897" i="1"/>
  <c r="J896" i="1" l="1"/>
  <c r="H896" i="1"/>
  <c r="F896" i="1"/>
  <c r="J895" i="1" l="1"/>
  <c r="H895" i="1"/>
  <c r="F895" i="1"/>
  <c r="J894" i="1" l="1"/>
  <c r="H894" i="1"/>
  <c r="F894" i="1"/>
  <c r="J893" i="1" l="1"/>
  <c r="H893" i="1"/>
  <c r="F893" i="1"/>
  <c r="J892" i="1" l="1"/>
  <c r="H892" i="1"/>
  <c r="F892" i="1"/>
  <c r="J891" i="1" l="1"/>
  <c r="H891" i="1"/>
  <c r="F891" i="1"/>
  <c r="J890" i="1" l="1"/>
  <c r="H890" i="1"/>
  <c r="F890" i="1"/>
  <c r="J889" i="1" l="1"/>
  <c r="H889" i="1"/>
  <c r="F889" i="1"/>
  <c r="J888" i="1" l="1"/>
  <c r="H888" i="1"/>
  <c r="F888" i="1"/>
  <c r="J887" i="1" l="1"/>
  <c r="H887" i="1"/>
  <c r="F887" i="1"/>
  <c r="J886" i="1" l="1"/>
  <c r="H886" i="1"/>
  <c r="F886" i="1"/>
  <c r="J885" i="1" l="1"/>
  <c r="H885" i="1"/>
  <c r="F885" i="1"/>
  <c r="J884" i="1" l="1"/>
  <c r="H884" i="1"/>
  <c r="F884" i="1"/>
  <c r="J883" i="1" l="1"/>
  <c r="H883" i="1"/>
  <c r="F883" i="1"/>
  <c r="J882" i="1" l="1"/>
  <c r="H882" i="1"/>
  <c r="F882" i="1"/>
  <c r="J881" i="1" l="1"/>
  <c r="H881" i="1"/>
  <c r="F881" i="1"/>
  <c r="J880" i="1" l="1"/>
  <c r="H880" i="1"/>
  <c r="F880" i="1"/>
  <c r="J879" i="1" l="1"/>
  <c r="H879" i="1"/>
  <c r="F879" i="1"/>
  <c r="J878" i="1" l="1"/>
  <c r="H878" i="1"/>
  <c r="F878" i="1"/>
  <c r="J877" i="1" l="1"/>
  <c r="H877" i="1"/>
  <c r="F877" i="1"/>
  <c r="J876" i="1" l="1"/>
  <c r="H876" i="1"/>
  <c r="F876" i="1"/>
  <c r="J875" i="1" l="1"/>
  <c r="H875" i="1"/>
  <c r="F875" i="1"/>
  <c r="J874" i="1" l="1"/>
  <c r="H874" i="1"/>
  <c r="F874" i="1"/>
  <c r="J873" i="1" l="1"/>
  <c r="H873" i="1"/>
  <c r="F873" i="1"/>
  <c r="J872" i="1" l="1"/>
  <c r="H872" i="1"/>
  <c r="F872" i="1"/>
  <c r="J871" i="1" l="1"/>
  <c r="H871" i="1"/>
  <c r="F871" i="1"/>
  <c r="J870" i="1" l="1"/>
  <c r="H870" i="1"/>
  <c r="F870" i="1"/>
  <c r="J869" i="1" l="1"/>
  <c r="H869" i="1"/>
  <c r="F869" i="1"/>
  <c r="J868" i="1" l="1"/>
  <c r="H868" i="1"/>
  <c r="F868" i="1"/>
  <c r="J867" i="1" l="1"/>
  <c r="H867" i="1"/>
  <c r="F867" i="1"/>
  <c r="J866" i="1" l="1"/>
  <c r="H866" i="1"/>
  <c r="F866" i="1"/>
  <c r="J865" i="1" l="1"/>
  <c r="H865" i="1"/>
  <c r="F865" i="1"/>
  <c r="J864" i="1" l="1"/>
  <c r="H864" i="1"/>
  <c r="F864" i="1"/>
  <c r="J863" i="1" l="1"/>
  <c r="H863" i="1"/>
  <c r="F863" i="1"/>
  <c r="J862" i="1" l="1"/>
  <c r="H862" i="1"/>
  <c r="F862" i="1"/>
  <c r="J861" i="1" l="1"/>
  <c r="H861" i="1"/>
  <c r="F861" i="1"/>
  <c r="J860" i="1" l="1"/>
  <c r="H860" i="1"/>
  <c r="F860" i="1"/>
  <c r="J859" i="1" l="1"/>
  <c r="H859" i="1"/>
  <c r="F859" i="1"/>
  <c r="J858" i="1" l="1"/>
  <c r="H858" i="1"/>
  <c r="F858" i="1"/>
  <c r="J857" i="1" l="1"/>
  <c r="H857" i="1"/>
  <c r="F857" i="1"/>
  <c r="J856" i="1" l="1"/>
  <c r="H856" i="1"/>
  <c r="F856" i="1"/>
  <c r="J855" i="1" l="1"/>
  <c r="H855" i="1"/>
  <c r="F855" i="1"/>
  <c r="J854" i="1" l="1"/>
  <c r="H854" i="1"/>
  <c r="F854" i="1"/>
  <c r="J853" i="1" l="1"/>
  <c r="H853" i="1"/>
  <c r="F853" i="1"/>
  <c r="J852" i="1" l="1"/>
  <c r="H852" i="1"/>
  <c r="F852" i="1"/>
  <c r="J851" i="1" l="1"/>
  <c r="H851" i="1"/>
  <c r="F851" i="1"/>
  <c r="J850" i="1" l="1"/>
  <c r="H850" i="1"/>
  <c r="F850" i="1"/>
  <c r="J849" i="1" l="1"/>
  <c r="H849" i="1"/>
  <c r="F849" i="1"/>
  <c r="J848" i="1" l="1"/>
  <c r="H848" i="1"/>
  <c r="F848" i="1"/>
  <c r="J847" i="1" l="1"/>
  <c r="H847" i="1"/>
  <c r="F847" i="1"/>
  <c r="J472" i="1" l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J846" i="1" l="1"/>
  <c r="H846" i="1"/>
  <c r="F846" i="1"/>
  <c r="J845" i="1" l="1"/>
  <c r="H845" i="1"/>
  <c r="F845" i="1"/>
  <c r="J844" i="1" l="1"/>
  <c r="H844" i="1"/>
  <c r="F844" i="1"/>
  <c r="J843" i="1" l="1"/>
  <c r="H843" i="1"/>
  <c r="F843" i="1"/>
  <c r="J842" i="1" l="1"/>
  <c r="H842" i="1"/>
  <c r="F842" i="1"/>
  <c r="J841" i="1" l="1"/>
  <c r="H841" i="1"/>
  <c r="F841" i="1"/>
  <c r="J840" i="1" l="1"/>
  <c r="H840" i="1"/>
  <c r="F840" i="1"/>
  <c r="J839" i="1" l="1"/>
  <c r="H839" i="1"/>
  <c r="F839" i="1"/>
  <c r="J838" i="1" l="1"/>
  <c r="H838" i="1"/>
  <c r="F838" i="1"/>
  <c r="J837" i="1" l="1"/>
  <c r="H837" i="1"/>
  <c r="F837" i="1"/>
  <c r="J836" i="1" l="1"/>
  <c r="H836" i="1"/>
  <c r="F836" i="1"/>
  <c r="J835" i="1" l="1"/>
  <c r="H835" i="1"/>
  <c r="F835" i="1"/>
  <c r="J834" i="1" l="1"/>
  <c r="H834" i="1"/>
  <c r="F834" i="1"/>
  <c r="J833" i="1" l="1"/>
  <c r="H833" i="1"/>
  <c r="F833" i="1"/>
  <c r="J832" i="1" l="1"/>
  <c r="H832" i="1"/>
  <c r="F832" i="1"/>
  <c r="J831" i="1" l="1"/>
  <c r="H831" i="1"/>
  <c r="F831" i="1"/>
  <c r="J830" i="1"/>
  <c r="H830" i="1"/>
  <c r="F830" i="1"/>
  <c r="J829" i="1"/>
  <c r="H829" i="1"/>
  <c r="F829" i="1"/>
  <c r="J828" i="1"/>
  <c r="H828" i="1"/>
  <c r="F828" i="1"/>
  <c r="J827" i="1"/>
  <c r="H827" i="1"/>
  <c r="F827" i="1"/>
  <c r="J826" i="1"/>
  <c r="H826" i="1"/>
  <c r="F826" i="1"/>
  <c r="J825" i="1"/>
  <c r="J824" i="1"/>
  <c r="H825" i="1"/>
  <c r="F825" i="1"/>
  <c r="H824" i="1"/>
  <c r="F824" i="1"/>
  <c r="J823" i="1"/>
  <c r="H823" i="1"/>
  <c r="F823" i="1"/>
  <c r="J822" i="1"/>
  <c r="H822" i="1"/>
  <c r="F822" i="1"/>
  <c r="J821" i="1"/>
  <c r="H821" i="1"/>
  <c r="F821" i="1"/>
  <c r="J820" i="1"/>
  <c r="H820" i="1"/>
  <c r="F820" i="1"/>
  <c r="J819" i="1"/>
  <c r="H819" i="1"/>
  <c r="F819" i="1"/>
  <c r="J818" i="1"/>
  <c r="H818" i="1"/>
  <c r="F818" i="1"/>
  <c r="J817" i="1"/>
  <c r="H817" i="1"/>
  <c r="F817" i="1"/>
  <c r="J816" i="1"/>
  <c r="H816" i="1"/>
  <c r="F816" i="1"/>
  <c r="J815" i="1"/>
  <c r="H815" i="1"/>
  <c r="F815" i="1"/>
  <c r="J814" i="1"/>
  <c r="H814" i="1"/>
  <c r="F814" i="1"/>
  <c r="J813" i="1"/>
  <c r="H813" i="1"/>
  <c r="F813" i="1"/>
  <c r="J812" i="1"/>
  <c r="H812" i="1"/>
  <c r="F812" i="1"/>
  <c r="J811" i="1"/>
  <c r="H811" i="1"/>
  <c r="F811" i="1"/>
  <c r="J810" i="1"/>
  <c r="H810" i="1"/>
  <c r="F810" i="1"/>
  <c r="J809" i="1"/>
  <c r="H809" i="1"/>
  <c r="F809" i="1"/>
  <c r="J808" i="1"/>
  <c r="H808" i="1"/>
  <c r="F808" i="1"/>
  <c r="J807" i="1"/>
  <c r="J806" i="1"/>
  <c r="H807" i="1"/>
  <c r="H806" i="1"/>
  <c r="F807" i="1"/>
  <c r="F806" i="1"/>
  <c r="J805" i="1"/>
  <c r="H805" i="1"/>
  <c r="F805" i="1"/>
  <c r="J804" i="1"/>
  <c r="H804" i="1"/>
  <c r="F804" i="1"/>
  <c r="J803" i="1"/>
  <c r="H803" i="1"/>
  <c r="F803" i="1"/>
  <c r="J799" i="1"/>
  <c r="J800" i="1"/>
  <c r="J801" i="1"/>
  <c r="J802" i="1"/>
  <c r="H799" i="1"/>
  <c r="H800" i="1"/>
  <c r="H801" i="1"/>
  <c r="H802" i="1"/>
  <c r="F799" i="1"/>
  <c r="F800" i="1"/>
  <c r="F801" i="1"/>
  <c r="F802" i="1"/>
  <c r="J798" i="1"/>
  <c r="H798" i="1"/>
  <c r="F798" i="1"/>
  <c r="J797" i="1"/>
  <c r="H797" i="1"/>
  <c r="F797" i="1"/>
  <c r="J796" i="1"/>
  <c r="H796" i="1"/>
  <c r="F796" i="1"/>
  <c r="J795" i="1"/>
  <c r="H795" i="1"/>
  <c r="F795" i="1"/>
  <c r="J794" i="1"/>
  <c r="H794" i="1"/>
  <c r="F794" i="1"/>
  <c r="J793" i="1"/>
  <c r="H793" i="1"/>
  <c r="F793" i="1"/>
  <c r="J792" i="1"/>
  <c r="H792" i="1"/>
  <c r="F792" i="1"/>
  <c r="J791" i="1"/>
  <c r="H791" i="1"/>
  <c r="F791" i="1"/>
  <c r="J790" i="1"/>
  <c r="H790" i="1"/>
  <c r="F790" i="1"/>
  <c r="J789" i="1"/>
  <c r="H789" i="1"/>
  <c r="F789" i="1"/>
  <c r="J788" i="1"/>
  <c r="H788" i="1"/>
  <c r="F788" i="1"/>
  <c r="J787" i="1"/>
  <c r="H787" i="1"/>
  <c r="F787" i="1"/>
  <c r="J786" i="1"/>
  <c r="H786" i="1"/>
  <c r="F786" i="1"/>
  <c r="J785" i="1"/>
  <c r="H785" i="1"/>
  <c r="F785" i="1"/>
  <c r="J784" i="1"/>
  <c r="H784" i="1"/>
  <c r="F784" i="1"/>
  <c r="J783" i="1"/>
  <c r="H783" i="1"/>
  <c r="F783" i="1"/>
  <c r="J782" i="1"/>
  <c r="H782" i="1"/>
  <c r="F782" i="1"/>
  <c r="J781" i="1"/>
  <c r="H781" i="1"/>
  <c r="F781" i="1"/>
  <c r="J780" i="1"/>
  <c r="H780" i="1"/>
  <c r="F780" i="1"/>
  <c r="J779" i="1"/>
  <c r="H779" i="1"/>
  <c r="F779" i="1"/>
  <c r="J778" i="1"/>
  <c r="H778" i="1"/>
  <c r="F778" i="1"/>
  <c r="J777" i="1"/>
  <c r="H777" i="1"/>
  <c r="F777" i="1"/>
  <c r="J776" i="1"/>
  <c r="H776" i="1"/>
  <c r="F776" i="1"/>
  <c r="J775" i="1"/>
  <c r="H775" i="1"/>
  <c r="F775" i="1"/>
  <c r="J774" i="1"/>
  <c r="H774" i="1"/>
  <c r="F774" i="1"/>
  <c r="J773" i="1"/>
  <c r="H773" i="1"/>
  <c r="F773" i="1"/>
  <c r="J772" i="1"/>
  <c r="H772" i="1"/>
  <c r="F772" i="1"/>
  <c r="J771" i="1"/>
  <c r="H771" i="1"/>
  <c r="F771" i="1"/>
  <c r="J770" i="1"/>
  <c r="H770" i="1"/>
  <c r="F770" i="1"/>
  <c r="J769" i="1"/>
  <c r="H769" i="1"/>
  <c r="F769" i="1"/>
  <c r="J768" i="1"/>
  <c r="H768" i="1"/>
  <c r="F768" i="1"/>
  <c r="J767" i="1"/>
  <c r="H767" i="1"/>
  <c r="F767" i="1"/>
  <c r="J766" i="1"/>
  <c r="H766" i="1"/>
  <c r="F766" i="1"/>
  <c r="J765" i="1"/>
  <c r="H765" i="1"/>
  <c r="F765" i="1"/>
  <c r="J764" i="1"/>
  <c r="H764" i="1"/>
  <c r="F764" i="1"/>
  <c r="F762" i="1"/>
  <c r="F763" i="1"/>
  <c r="J763" i="1"/>
  <c r="H763" i="1"/>
  <c r="J762" i="1"/>
  <c r="H762" i="1"/>
  <c r="J761" i="1"/>
  <c r="H761" i="1"/>
  <c r="F761" i="1"/>
  <c r="J760" i="1"/>
  <c r="H760" i="1"/>
  <c r="F760" i="1"/>
  <c r="J759" i="1"/>
  <c r="H759" i="1"/>
  <c r="F759" i="1"/>
  <c r="J758" i="1"/>
  <c r="H758" i="1"/>
  <c r="F758" i="1"/>
  <c r="J757" i="1"/>
  <c r="H757" i="1"/>
  <c r="F757" i="1"/>
  <c r="J756" i="1"/>
  <c r="H756" i="1"/>
  <c r="F756" i="1"/>
  <c r="J755" i="1"/>
  <c r="H755" i="1"/>
  <c r="F755" i="1"/>
  <c r="J754" i="1"/>
  <c r="H754" i="1"/>
  <c r="F754" i="1"/>
  <c r="J753" i="1"/>
  <c r="H753" i="1"/>
  <c r="F753" i="1"/>
  <c r="J752" i="1"/>
  <c r="H752" i="1"/>
  <c r="F752" i="1"/>
  <c r="J751" i="1"/>
  <c r="H751" i="1"/>
  <c r="F751" i="1"/>
  <c r="J750" i="1"/>
  <c r="H750" i="1"/>
  <c r="F750" i="1"/>
  <c r="J749" i="1"/>
  <c r="H749" i="1"/>
  <c r="F749" i="1"/>
  <c r="J748" i="1"/>
  <c r="H748" i="1"/>
  <c r="F748" i="1"/>
  <c r="J747" i="1"/>
  <c r="H747" i="1"/>
  <c r="F747" i="1"/>
  <c r="J746" i="1"/>
  <c r="H746" i="1"/>
  <c r="F746" i="1"/>
  <c r="J745" i="1"/>
  <c r="H745" i="1"/>
  <c r="F745" i="1"/>
  <c r="J744" i="1"/>
  <c r="H744" i="1"/>
  <c r="F744" i="1"/>
  <c r="J743" i="1"/>
  <c r="H743" i="1"/>
  <c r="F743" i="1"/>
  <c r="J742" i="1"/>
  <c r="H742" i="1"/>
  <c r="F742" i="1"/>
  <c r="J741" i="1"/>
  <c r="H741" i="1"/>
  <c r="F741" i="1"/>
  <c r="J740" i="1"/>
  <c r="H740" i="1"/>
  <c r="F740" i="1"/>
  <c r="J739" i="1"/>
  <c r="H739" i="1"/>
  <c r="F739" i="1"/>
  <c r="J738" i="1"/>
  <c r="H738" i="1"/>
  <c r="F738" i="1"/>
  <c r="J737" i="1"/>
  <c r="H737" i="1"/>
  <c r="F737" i="1"/>
  <c r="J736" i="1"/>
  <c r="H736" i="1"/>
  <c r="F736" i="1"/>
  <c r="J735" i="1"/>
  <c r="H735" i="1"/>
  <c r="F735" i="1"/>
  <c r="J734" i="1"/>
  <c r="H734" i="1"/>
  <c r="F734" i="1"/>
  <c r="J733" i="1"/>
  <c r="H733" i="1"/>
  <c r="F733" i="1"/>
  <c r="J732" i="1"/>
  <c r="H732" i="1"/>
  <c r="F732" i="1"/>
  <c r="J731" i="1"/>
  <c r="H731" i="1"/>
  <c r="F731" i="1"/>
  <c r="J730" i="1"/>
  <c r="H730" i="1"/>
  <c r="F730" i="1"/>
  <c r="J729" i="1"/>
  <c r="H729" i="1"/>
  <c r="F729" i="1"/>
  <c r="J728" i="1"/>
  <c r="H728" i="1"/>
  <c r="F728" i="1"/>
  <c r="J727" i="1"/>
  <c r="H727" i="1"/>
  <c r="F727" i="1"/>
  <c r="J726" i="1"/>
  <c r="H726" i="1"/>
  <c r="F726" i="1"/>
  <c r="J725" i="1"/>
  <c r="H725" i="1"/>
  <c r="F725" i="1"/>
  <c r="J724" i="1"/>
  <c r="H724" i="1"/>
  <c r="F724" i="1"/>
  <c r="J723" i="1"/>
  <c r="H723" i="1"/>
  <c r="F723" i="1"/>
  <c r="J722" i="1"/>
  <c r="H722" i="1"/>
  <c r="F722" i="1"/>
  <c r="J721" i="1"/>
  <c r="H721" i="1"/>
  <c r="F721" i="1"/>
  <c r="J720" i="1"/>
  <c r="H720" i="1"/>
  <c r="F720" i="1"/>
  <c r="J719" i="1"/>
  <c r="H719" i="1"/>
  <c r="F719" i="1"/>
  <c r="J718" i="1"/>
  <c r="H718" i="1"/>
  <c r="F718" i="1"/>
  <c r="J717" i="1"/>
  <c r="H717" i="1"/>
  <c r="F717" i="1"/>
  <c r="J716" i="1"/>
  <c r="H716" i="1"/>
  <c r="F716" i="1"/>
  <c r="J715" i="1"/>
  <c r="H715" i="1"/>
  <c r="F715" i="1"/>
  <c r="J714" i="1"/>
  <c r="H714" i="1"/>
  <c r="F714" i="1"/>
  <c r="J713" i="1"/>
  <c r="H713" i="1"/>
  <c r="F713" i="1"/>
  <c r="J712" i="1"/>
  <c r="H712" i="1"/>
  <c r="F712" i="1"/>
  <c r="J711" i="1"/>
  <c r="H711" i="1"/>
  <c r="F711" i="1"/>
  <c r="J710" i="1"/>
  <c r="H710" i="1"/>
  <c r="F710" i="1"/>
  <c r="J709" i="1"/>
  <c r="H709" i="1"/>
  <c r="F709" i="1"/>
  <c r="J708" i="1"/>
  <c r="H708" i="1"/>
  <c r="F708" i="1"/>
  <c r="J707" i="1"/>
  <c r="H707" i="1"/>
  <c r="F707" i="1"/>
  <c r="J706" i="1"/>
  <c r="H706" i="1"/>
  <c r="F706" i="1"/>
  <c r="J705" i="1"/>
  <c r="H705" i="1"/>
  <c r="F705" i="1"/>
  <c r="J704" i="1"/>
  <c r="H704" i="1"/>
  <c r="F704" i="1"/>
  <c r="J703" i="1"/>
  <c r="H703" i="1"/>
  <c r="F703" i="1"/>
  <c r="J702" i="1"/>
  <c r="H702" i="1"/>
  <c r="F702" i="1"/>
  <c r="J701" i="1"/>
  <c r="H701" i="1"/>
  <c r="F701" i="1"/>
  <c r="J700" i="1"/>
  <c r="H700" i="1"/>
  <c r="F700" i="1"/>
  <c r="J699" i="1"/>
  <c r="H699" i="1"/>
  <c r="F699" i="1"/>
  <c r="J698" i="1"/>
  <c r="H698" i="1"/>
  <c r="F698" i="1"/>
  <c r="J697" i="1"/>
  <c r="H697" i="1"/>
  <c r="F697" i="1"/>
  <c r="J696" i="1"/>
  <c r="H696" i="1"/>
  <c r="F696" i="1"/>
  <c r="J695" i="1"/>
  <c r="H695" i="1"/>
  <c r="F695" i="1"/>
  <c r="J694" i="1"/>
  <c r="H694" i="1"/>
  <c r="F694" i="1"/>
  <c r="J693" i="1"/>
  <c r="H693" i="1"/>
  <c r="F693" i="1"/>
  <c r="J692" i="1"/>
  <c r="H692" i="1"/>
  <c r="F692" i="1"/>
  <c r="J691" i="1"/>
  <c r="H691" i="1"/>
  <c r="F691" i="1"/>
  <c r="J690" i="1"/>
  <c r="H690" i="1"/>
  <c r="F690" i="1"/>
  <c r="J689" i="1"/>
  <c r="H689" i="1"/>
  <c r="F689" i="1"/>
  <c r="J688" i="1"/>
  <c r="H688" i="1"/>
  <c r="F688" i="1"/>
  <c r="J687" i="1"/>
  <c r="H687" i="1"/>
  <c r="F687" i="1"/>
  <c r="J686" i="1"/>
  <c r="H686" i="1"/>
  <c r="F686" i="1"/>
  <c r="J685" i="1"/>
  <c r="H685" i="1"/>
  <c r="F685" i="1"/>
  <c r="J684" i="1"/>
  <c r="H684" i="1"/>
  <c r="F684" i="1"/>
  <c r="J683" i="1"/>
  <c r="H683" i="1"/>
  <c r="F683" i="1"/>
  <c r="J682" i="1"/>
  <c r="H682" i="1"/>
  <c r="F682" i="1"/>
  <c r="J681" i="1"/>
  <c r="H681" i="1"/>
  <c r="F681" i="1"/>
  <c r="J680" i="1"/>
  <c r="H680" i="1"/>
  <c r="F680" i="1"/>
  <c r="J679" i="1"/>
  <c r="H679" i="1"/>
  <c r="F679" i="1"/>
  <c r="J678" i="1"/>
  <c r="H678" i="1"/>
  <c r="F678" i="1"/>
  <c r="J677" i="1"/>
  <c r="H677" i="1"/>
  <c r="F677" i="1"/>
  <c r="J676" i="1"/>
  <c r="H676" i="1"/>
  <c r="F676" i="1"/>
  <c r="J675" i="1"/>
  <c r="H675" i="1"/>
  <c r="F675" i="1"/>
  <c r="J674" i="1"/>
  <c r="H674" i="1"/>
  <c r="F674" i="1"/>
  <c r="J673" i="1"/>
  <c r="H673" i="1"/>
  <c r="F673" i="1"/>
  <c r="J672" i="1"/>
  <c r="H672" i="1"/>
  <c r="F672" i="1"/>
  <c r="J671" i="1"/>
  <c r="H671" i="1"/>
  <c r="F671" i="1"/>
  <c r="J670" i="1"/>
  <c r="H670" i="1"/>
  <c r="F670" i="1"/>
  <c r="J669" i="1"/>
  <c r="H669" i="1"/>
  <c r="F669" i="1"/>
  <c r="J668" i="1"/>
  <c r="H668" i="1"/>
  <c r="F668" i="1"/>
  <c r="J667" i="1"/>
  <c r="H667" i="1"/>
  <c r="F667" i="1"/>
  <c r="J666" i="1"/>
  <c r="H666" i="1"/>
  <c r="F666" i="1"/>
  <c r="J665" i="1"/>
  <c r="H665" i="1"/>
  <c r="F665" i="1"/>
  <c r="J664" i="1"/>
  <c r="H664" i="1"/>
  <c r="F664" i="1"/>
  <c r="J663" i="1"/>
  <c r="H663" i="1"/>
  <c r="F663" i="1"/>
  <c r="J662" i="1"/>
  <c r="H662" i="1"/>
  <c r="F662" i="1"/>
  <c r="J661" i="1"/>
  <c r="H661" i="1"/>
  <c r="F661" i="1"/>
  <c r="J660" i="1"/>
  <c r="H660" i="1"/>
  <c r="F660" i="1"/>
  <c r="J659" i="1"/>
  <c r="H659" i="1"/>
  <c r="F659" i="1"/>
  <c r="J658" i="1"/>
  <c r="H658" i="1"/>
  <c r="F658" i="1"/>
  <c r="J657" i="1"/>
  <c r="H657" i="1"/>
  <c r="F657" i="1"/>
  <c r="J656" i="1"/>
  <c r="H656" i="1"/>
  <c r="F656" i="1"/>
  <c r="J655" i="1"/>
  <c r="H655" i="1"/>
  <c r="F655" i="1"/>
  <c r="J654" i="1"/>
  <c r="H654" i="1"/>
  <c r="F654" i="1"/>
  <c r="J653" i="1"/>
  <c r="H653" i="1"/>
  <c r="F653" i="1"/>
  <c r="J652" i="1"/>
  <c r="H652" i="1"/>
  <c r="F652" i="1"/>
  <c r="J651" i="1"/>
  <c r="H651" i="1"/>
  <c r="F651" i="1"/>
  <c r="J650" i="1"/>
  <c r="H650" i="1"/>
  <c r="F650" i="1"/>
  <c r="J649" i="1"/>
  <c r="H649" i="1"/>
  <c r="F649" i="1"/>
  <c r="J648" i="1"/>
  <c r="H648" i="1"/>
  <c r="F648" i="1"/>
  <c r="J647" i="1"/>
  <c r="H647" i="1"/>
  <c r="F647" i="1"/>
  <c r="J646" i="1"/>
  <c r="H646" i="1"/>
  <c r="F646" i="1"/>
  <c r="J645" i="1"/>
  <c r="H645" i="1"/>
  <c r="F645" i="1"/>
  <c r="J644" i="1"/>
  <c r="H644" i="1"/>
  <c r="F644" i="1"/>
  <c r="J643" i="1"/>
  <c r="H643" i="1"/>
  <c r="F643" i="1"/>
  <c r="J642" i="1"/>
  <c r="H642" i="1"/>
  <c r="F642" i="1"/>
  <c r="J641" i="1"/>
  <c r="H641" i="1"/>
  <c r="F641" i="1"/>
  <c r="J640" i="1"/>
  <c r="H640" i="1"/>
  <c r="F640" i="1"/>
  <c r="J639" i="1"/>
  <c r="H639" i="1"/>
  <c r="F639" i="1"/>
  <c r="J638" i="1"/>
  <c r="H638" i="1"/>
  <c r="F638" i="1"/>
  <c r="J637" i="1"/>
  <c r="H637" i="1"/>
  <c r="F637" i="1"/>
  <c r="J636" i="1"/>
  <c r="H636" i="1"/>
  <c r="F636" i="1"/>
  <c r="J635" i="1"/>
  <c r="H635" i="1"/>
  <c r="F635" i="1"/>
  <c r="J634" i="1"/>
  <c r="H634" i="1"/>
  <c r="F634" i="1"/>
  <c r="J633" i="1"/>
  <c r="H633" i="1"/>
  <c r="F633" i="1"/>
  <c r="J632" i="1"/>
  <c r="H632" i="1"/>
  <c r="F632" i="1"/>
  <c r="J631" i="1"/>
  <c r="H631" i="1"/>
  <c r="F631" i="1"/>
  <c r="J630" i="1"/>
  <c r="H630" i="1"/>
  <c r="F630" i="1"/>
  <c r="J629" i="1"/>
  <c r="H629" i="1"/>
  <c r="F629" i="1"/>
  <c r="J628" i="1"/>
  <c r="H628" i="1"/>
  <c r="F628" i="1"/>
  <c r="J627" i="1"/>
  <c r="H627" i="1"/>
  <c r="F627" i="1"/>
  <c r="J626" i="1"/>
  <c r="H626" i="1"/>
  <c r="F626" i="1"/>
  <c r="J625" i="1"/>
  <c r="H625" i="1"/>
  <c r="F625" i="1"/>
  <c r="J624" i="1"/>
  <c r="H624" i="1"/>
  <c r="F624" i="1"/>
  <c r="J623" i="1"/>
  <c r="H623" i="1"/>
  <c r="F623" i="1"/>
  <c r="J622" i="1"/>
  <c r="H622" i="1"/>
  <c r="F622" i="1"/>
  <c r="J621" i="1"/>
  <c r="H621" i="1"/>
  <c r="F621" i="1"/>
  <c r="J620" i="1"/>
  <c r="H620" i="1"/>
  <c r="F620" i="1"/>
  <c r="J619" i="1"/>
  <c r="H619" i="1"/>
  <c r="F619" i="1"/>
  <c r="J618" i="1"/>
  <c r="H618" i="1"/>
  <c r="F618" i="1"/>
  <c r="J617" i="1"/>
  <c r="H617" i="1"/>
  <c r="F617" i="1"/>
  <c r="J616" i="1"/>
  <c r="H616" i="1"/>
  <c r="F616" i="1"/>
  <c r="J615" i="1"/>
  <c r="H615" i="1"/>
  <c r="F615" i="1"/>
  <c r="J614" i="1"/>
  <c r="H614" i="1"/>
  <c r="F614" i="1"/>
  <c r="J613" i="1"/>
  <c r="H613" i="1"/>
  <c r="F613" i="1"/>
  <c r="J612" i="1"/>
  <c r="H612" i="1"/>
  <c r="F612" i="1"/>
  <c r="J611" i="1"/>
  <c r="H611" i="1"/>
  <c r="F611" i="1"/>
  <c r="J610" i="1"/>
  <c r="H610" i="1"/>
  <c r="F610" i="1"/>
  <c r="J609" i="1"/>
  <c r="H609" i="1"/>
  <c r="F609" i="1"/>
  <c r="J608" i="1"/>
  <c r="H608" i="1"/>
  <c r="F608" i="1"/>
  <c r="J607" i="1"/>
  <c r="H607" i="1"/>
  <c r="F607" i="1"/>
  <c r="J606" i="1"/>
  <c r="H606" i="1"/>
  <c r="F606" i="1"/>
  <c r="J605" i="1"/>
  <c r="H605" i="1"/>
  <c r="F605" i="1"/>
  <c r="J604" i="1"/>
  <c r="H604" i="1"/>
  <c r="F604" i="1"/>
  <c r="J603" i="1"/>
  <c r="H603" i="1"/>
  <c r="F603" i="1"/>
  <c r="J602" i="1"/>
  <c r="H602" i="1"/>
  <c r="F602" i="1"/>
  <c r="J601" i="1"/>
  <c r="H601" i="1"/>
  <c r="F601" i="1"/>
  <c r="J600" i="1"/>
  <c r="H600" i="1"/>
  <c r="F600" i="1"/>
  <c r="J599" i="1"/>
  <c r="H599" i="1"/>
  <c r="F599" i="1"/>
  <c r="J598" i="1"/>
  <c r="H598" i="1"/>
  <c r="F598" i="1"/>
  <c r="J597" i="1"/>
  <c r="H597" i="1"/>
  <c r="F597" i="1"/>
  <c r="J596" i="1"/>
  <c r="H596" i="1"/>
  <c r="F596" i="1"/>
  <c r="J595" i="1"/>
  <c r="H595" i="1"/>
  <c r="F595" i="1"/>
  <c r="J594" i="1"/>
  <c r="H594" i="1"/>
  <c r="F594" i="1"/>
  <c r="J593" i="1"/>
  <c r="H593" i="1"/>
  <c r="F593" i="1"/>
  <c r="J592" i="1"/>
  <c r="H592" i="1"/>
  <c r="F592" i="1"/>
  <c r="J591" i="1"/>
  <c r="H591" i="1"/>
  <c r="F591" i="1"/>
  <c r="J590" i="1"/>
  <c r="H590" i="1"/>
  <c r="F590" i="1"/>
  <c r="J589" i="1"/>
  <c r="H589" i="1"/>
  <c r="F589" i="1"/>
  <c r="H588" i="1"/>
  <c r="J588" i="1"/>
  <c r="F588" i="1"/>
  <c r="F587" i="1"/>
  <c r="J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</calcChain>
</file>

<file path=xl/sharedStrings.xml><?xml version="1.0" encoding="utf-8"?>
<sst xmlns="http://schemas.openxmlformats.org/spreadsheetml/2006/main" count="4269" uniqueCount="1699">
  <si>
    <t>Gulf</t>
  </si>
  <si>
    <t>In port</t>
  </si>
  <si>
    <t>Loaded</t>
  </si>
  <si>
    <t>Due</t>
  </si>
  <si>
    <t>PNW</t>
  </si>
  <si>
    <t>Vancouver</t>
  </si>
  <si>
    <t xml:space="preserve"> </t>
  </si>
  <si>
    <t>Loading</t>
  </si>
  <si>
    <t>Waiting to</t>
  </si>
  <si>
    <t>In Port</t>
  </si>
  <si>
    <t>4-year</t>
  </si>
  <si>
    <t>prior</t>
  </si>
  <si>
    <t>10-days</t>
  </si>
  <si>
    <t>Date</t>
  </si>
  <si>
    <t>load</t>
  </si>
  <si>
    <t>average</t>
  </si>
  <si>
    <t>7-Days</t>
  </si>
  <si>
    <t>4-year avg</t>
  </si>
  <si>
    <t>prior 4-yr avg</t>
  </si>
  <si>
    <t>Week #</t>
  </si>
  <si>
    <t>01/04/1995</t>
  </si>
  <si>
    <t>01/11/1995</t>
  </si>
  <si>
    <t>01/18/1995</t>
  </si>
  <si>
    <t>01/25/1995</t>
  </si>
  <si>
    <t>02/01/1995</t>
  </si>
  <si>
    <t>02/08/1995</t>
  </si>
  <si>
    <t>02/15/1995</t>
  </si>
  <si>
    <t>na</t>
  </si>
  <si>
    <t>02/22/1995</t>
  </si>
  <si>
    <t>03/01/1995</t>
  </si>
  <si>
    <t>03/08/1995</t>
  </si>
  <si>
    <t>03/15/1995</t>
  </si>
  <si>
    <t>03/22/1995</t>
  </si>
  <si>
    <t>03/29/1995</t>
  </si>
  <si>
    <t>04/05/1995</t>
  </si>
  <si>
    <t>04/12/1995</t>
  </si>
  <si>
    <t>04/19/1995</t>
  </si>
  <si>
    <t>04/26/1995</t>
  </si>
  <si>
    <t>05/03/1995</t>
  </si>
  <si>
    <t>05/10/1995</t>
  </si>
  <si>
    <t>05/17/1995</t>
  </si>
  <si>
    <t>05/24/1995</t>
  </si>
  <si>
    <t>05/31/1995</t>
  </si>
  <si>
    <t>06/07/1995</t>
  </si>
  <si>
    <t>06/14/1995</t>
  </si>
  <si>
    <t>06/21/1995</t>
  </si>
  <si>
    <t>06/28/1995</t>
  </si>
  <si>
    <t>07/05/1995</t>
  </si>
  <si>
    <t>07/12/1995</t>
  </si>
  <si>
    <t>07/19/1995</t>
  </si>
  <si>
    <t>07/26/1995</t>
  </si>
  <si>
    <t>08/02/1995</t>
  </si>
  <si>
    <t>08/09/1995</t>
  </si>
  <si>
    <t>08/16/1995</t>
  </si>
  <si>
    <t>08/23/1995</t>
  </si>
  <si>
    <t>08/30/1995</t>
  </si>
  <si>
    <t>09/06/1995</t>
  </si>
  <si>
    <t>09/13/1995</t>
  </si>
  <si>
    <t>09/20/1995</t>
  </si>
  <si>
    <t>09/27/1995</t>
  </si>
  <si>
    <t>10/04/1995</t>
  </si>
  <si>
    <t>10/11/1995</t>
  </si>
  <si>
    <t>10/19/1995</t>
  </si>
  <si>
    <t>10/25/1995</t>
  </si>
  <si>
    <t>11/01/1995</t>
  </si>
  <si>
    <t>11/08/1995</t>
  </si>
  <si>
    <t>11/15/1995</t>
  </si>
  <si>
    <t>11/22/1995</t>
  </si>
  <si>
    <t>11/29/1995</t>
  </si>
  <si>
    <t>12/06/1995</t>
  </si>
  <si>
    <t>12/13/1995</t>
  </si>
  <si>
    <t>12/20/1995</t>
  </si>
  <si>
    <t>12/27/1995</t>
  </si>
  <si>
    <t>01/03/1996</t>
  </si>
  <si>
    <t>01/11/1996</t>
  </si>
  <si>
    <t>01/17/1996</t>
  </si>
  <si>
    <t>01/24/1996</t>
  </si>
  <si>
    <t>01/31/1996</t>
  </si>
  <si>
    <t>02/07/1996</t>
  </si>
  <si>
    <t>02/14/1996</t>
  </si>
  <si>
    <t>02/22/1996</t>
  </si>
  <si>
    <t>02/28/1996</t>
  </si>
  <si>
    <t>03/06/1996</t>
  </si>
  <si>
    <t>03/14/1996</t>
  </si>
  <si>
    <t>03/20/1996</t>
  </si>
  <si>
    <t>03/27/1996</t>
  </si>
  <si>
    <t>04/03/1996</t>
  </si>
  <si>
    <t>04/10/1996</t>
  </si>
  <si>
    <t>04/17/1996</t>
  </si>
  <si>
    <t>04/24/1996</t>
  </si>
  <si>
    <t>05/01/1996</t>
  </si>
  <si>
    <t>05/08/1996</t>
  </si>
  <si>
    <t>05/14/1996</t>
  </si>
  <si>
    <t>05/22/1996</t>
  </si>
  <si>
    <t>05/29/1996</t>
  </si>
  <si>
    <t>06/05/1996</t>
  </si>
  <si>
    <t>06/12/1996</t>
  </si>
  <si>
    <t>06/19/1996</t>
  </si>
  <si>
    <t>06/26/1996</t>
  </si>
  <si>
    <t>07/03/1996</t>
  </si>
  <si>
    <t>07/10/1996</t>
  </si>
  <si>
    <t>07/17/1996</t>
  </si>
  <si>
    <t>07/24/1996</t>
  </si>
  <si>
    <t>07/31/1996</t>
  </si>
  <si>
    <t>08/07/1996</t>
  </si>
  <si>
    <t>08/14/1996</t>
  </si>
  <si>
    <t>08/21/1996</t>
  </si>
  <si>
    <t>08/28/1996</t>
  </si>
  <si>
    <t>09/04/1996</t>
  </si>
  <si>
    <t>09/11/1996</t>
  </si>
  <si>
    <t>09/18/1996</t>
  </si>
  <si>
    <t>09/25/1996</t>
  </si>
  <si>
    <t>10/02/1996</t>
  </si>
  <si>
    <t>10/09/1996</t>
  </si>
  <si>
    <t>10/16/1996</t>
  </si>
  <si>
    <t>10/23/1996</t>
  </si>
  <si>
    <t>10/30/1996</t>
  </si>
  <si>
    <t>11/06/1996</t>
  </si>
  <si>
    <t>11/13/1996</t>
  </si>
  <si>
    <t>11/20/1996</t>
  </si>
  <si>
    <t>11/27/1996</t>
  </si>
  <si>
    <t>12/04/1996</t>
  </si>
  <si>
    <t>12/11/1996</t>
  </si>
  <si>
    <t>12/18/1996</t>
  </si>
  <si>
    <t>12/25/1996</t>
  </si>
  <si>
    <t>01/02/1997</t>
  </si>
  <si>
    <t>01/09/1997</t>
  </si>
  <si>
    <t>01/16/1997</t>
  </si>
  <si>
    <t>01/23/1997</t>
  </si>
  <si>
    <t>01/30/1997</t>
  </si>
  <si>
    <t>02/06/1997</t>
  </si>
  <si>
    <t>02/13/1997</t>
  </si>
  <si>
    <t>02/20/1997</t>
  </si>
  <si>
    <t>02/27/1997</t>
  </si>
  <si>
    <t>03/06/1997</t>
  </si>
  <si>
    <t>03/13/1997</t>
  </si>
  <si>
    <t>03/20/1997</t>
  </si>
  <si>
    <t>03/27/1997</t>
  </si>
  <si>
    <t>04/03/1997</t>
  </si>
  <si>
    <t>04/10/1997</t>
  </si>
  <si>
    <t>04/17/1997</t>
  </si>
  <si>
    <t>04/24/1997</t>
  </si>
  <si>
    <t>05/01/1997</t>
  </si>
  <si>
    <t>05/08/1997</t>
  </si>
  <si>
    <t>05/15/1997</t>
  </si>
  <si>
    <t>05/22/1997</t>
  </si>
  <si>
    <t>05/29/1997</t>
  </si>
  <si>
    <t>06/05/1997</t>
  </si>
  <si>
    <t>06/12/1997</t>
  </si>
  <si>
    <t>06/19/1997</t>
  </si>
  <si>
    <t>06/26/1997</t>
  </si>
  <si>
    <t>07/03/1997</t>
  </si>
  <si>
    <t>07/10/1997</t>
  </si>
  <si>
    <t>07/17/1997</t>
  </si>
  <si>
    <t>07/24/1997</t>
  </si>
  <si>
    <t>07/31/1997</t>
  </si>
  <si>
    <t>08/07/1997</t>
  </si>
  <si>
    <t>08/14/1997</t>
  </si>
  <si>
    <t>08/21/1997</t>
  </si>
  <si>
    <t>08/28/1997</t>
  </si>
  <si>
    <t>09/04/1997</t>
  </si>
  <si>
    <t>09/11/1997</t>
  </si>
  <si>
    <t>09/18/1997</t>
  </si>
  <si>
    <t>09/25/1997</t>
  </si>
  <si>
    <t>10/02/1997</t>
  </si>
  <si>
    <t>10/09/1997</t>
  </si>
  <si>
    <t>10/16/1997</t>
  </si>
  <si>
    <t>10/23/1997</t>
  </si>
  <si>
    <t>10/30/1997</t>
  </si>
  <si>
    <t>11/06/1997</t>
  </si>
  <si>
    <t>11/13/1997</t>
  </si>
  <si>
    <t>11/20/1997</t>
  </si>
  <si>
    <t>11/27/1997</t>
  </si>
  <si>
    <t>12/04/1997</t>
  </si>
  <si>
    <t>12/11/1997</t>
  </si>
  <si>
    <t>12/18/1997</t>
  </si>
  <si>
    <t>12/25/1997</t>
  </si>
  <si>
    <t>01/01/1998</t>
  </si>
  <si>
    <t>01/08/1998</t>
  </si>
  <si>
    <t>01/15/1998</t>
  </si>
  <si>
    <t>01/22/1998</t>
  </si>
  <si>
    <t>01/29/1998</t>
  </si>
  <si>
    <t>02/05/1998</t>
  </si>
  <si>
    <t>02/12/1998</t>
  </si>
  <si>
    <t>02/19/1998</t>
  </si>
  <si>
    <t>02/26/1998</t>
  </si>
  <si>
    <t>03/05/1998</t>
  </si>
  <si>
    <t>03/12/1998</t>
  </si>
  <si>
    <t>03/19/1998</t>
  </si>
  <si>
    <t>03/26/1998</t>
  </si>
  <si>
    <t>04/02/1998</t>
  </si>
  <si>
    <t>04/09/1998</t>
  </si>
  <si>
    <t>04/16/1998</t>
  </si>
  <si>
    <t>04/23/1998</t>
  </si>
  <si>
    <t>04/30/1998</t>
  </si>
  <si>
    <t>05/07/1998</t>
  </si>
  <si>
    <t>05/14/1998</t>
  </si>
  <si>
    <t>05/21/1998</t>
  </si>
  <si>
    <t>05/28/1998</t>
  </si>
  <si>
    <t>06/04/1998</t>
  </si>
  <si>
    <t>06/11/1998</t>
  </si>
  <si>
    <t>06/18/1998</t>
  </si>
  <si>
    <t>06/25/1998</t>
  </si>
  <si>
    <t>07/02/1998</t>
  </si>
  <si>
    <t>07/09/1998</t>
  </si>
  <si>
    <t>07/16/1998</t>
  </si>
  <si>
    <t>07/23/1998</t>
  </si>
  <si>
    <t>07/30/1998</t>
  </si>
  <si>
    <t>08/06/1998</t>
  </si>
  <si>
    <t>08/13/1998</t>
  </si>
  <si>
    <t>08/20/1998</t>
  </si>
  <si>
    <t>08/27/1998</t>
  </si>
  <si>
    <t>09/03/1998</t>
  </si>
  <si>
    <t>09/10/1998</t>
  </si>
  <si>
    <t>09/17/1998</t>
  </si>
  <si>
    <t>09/24/1998</t>
  </si>
  <si>
    <t>10/01/1998</t>
  </si>
  <si>
    <t>10/08/1998</t>
  </si>
  <si>
    <t>10/15/1998</t>
  </si>
  <si>
    <t>10/22/1998</t>
  </si>
  <si>
    <t>10/29/1998</t>
  </si>
  <si>
    <t>11/05/1998</t>
  </si>
  <si>
    <t>11/12/1998</t>
  </si>
  <si>
    <t>11/19/1998</t>
  </si>
  <si>
    <t>11/26/1998</t>
  </si>
  <si>
    <t>12/03/1998</t>
  </si>
  <si>
    <t>12/10/1998</t>
  </si>
  <si>
    <t>12/17/1998</t>
  </si>
  <si>
    <t>12/24/1998</t>
  </si>
  <si>
    <t>12/31/1998</t>
  </si>
  <si>
    <t>01/07/1999</t>
  </si>
  <si>
    <t>01/14/1999</t>
  </si>
  <si>
    <t>01/21/1999</t>
  </si>
  <si>
    <t>01/28/1999</t>
  </si>
  <si>
    <t>02/04/1999</t>
  </si>
  <si>
    <t>02/11/1999</t>
  </si>
  <si>
    <t>02/18/1999</t>
  </si>
  <si>
    <t>02/25/1999</t>
  </si>
  <si>
    <t>03/04/1999</t>
  </si>
  <si>
    <t>03/11/1999</t>
  </si>
  <si>
    <t>03/18/1999</t>
  </si>
  <si>
    <t>03/25/1999</t>
  </si>
  <si>
    <t>04/01/1999</t>
  </si>
  <si>
    <t>04/08/1999</t>
  </si>
  <si>
    <t>04/15/1999</t>
  </si>
  <si>
    <t>04/22/1999</t>
  </si>
  <si>
    <t>04/29/1999</t>
  </si>
  <si>
    <t>05/06/1999</t>
  </si>
  <si>
    <t>05/13/1999</t>
  </si>
  <si>
    <t>05/20/1999</t>
  </si>
  <si>
    <t>05/27/1999</t>
  </si>
  <si>
    <t>06/03/1999</t>
  </si>
  <si>
    <t>06/10/1999</t>
  </si>
  <si>
    <t>06/17/1999</t>
  </si>
  <si>
    <t>06/24/1999</t>
  </si>
  <si>
    <t>07/01/1999</t>
  </si>
  <si>
    <t>07/08/1999</t>
  </si>
  <si>
    <t>07/15/1999</t>
  </si>
  <si>
    <t>07/22/1999</t>
  </si>
  <si>
    <t>07/29/1999</t>
  </si>
  <si>
    <t>08/05/1999</t>
  </si>
  <si>
    <t>08/12/1999</t>
  </si>
  <si>
    <t>08/19/1999</t>
  </si>
  <si>
    <t>08/26/1999</t>
  </si>
  <si>
    <t>09/02/1999</t>
  </si>
  <si>
    <t>09/09/1999</t>
  </si>
  <si>
    <t>09/16/1999</t>
  </si>
  <si>
    <t>09/23/1999</t>
  </si>
  <si>
    <t>09/30/1999</t>
  </si>
  <si>
    <t>10/07/1999</t>
  </si>
  <si>
    <t>10/14/1999</t>
  </si>
  <si>
    <t>10/21/1999</t>
  </si>
  <si>
    <t>10/28/1999</t>
  </si>
  <si>
    <t>11/04/1999</t>
  </si>
  <si>
    <t>11/11/1999</t>
  </si>
  <si>
    <t>11/18/1999</t>
  </si>
  <si>
    <t>11/25/1999</t>
  </si>
  <si>
    <t>12/02/1999</t>
  </si>
  <si>
    <t>12/09/1999</t>
  </si>
  <si>
    <t>12/16/1999</t>
  </si>
  <si>
    <t>12/23/1999</t>
  </si>
  <si>
    <t>12/30/1999</t>
  </si>
  <si>
    <t>01/06/2000</t>
  </si>
  <si>
    <t>01/13/2000</t>
  </si>
  <si>
    <t>01/20/2000</t>
  </si>
  <si>
    <t>01/27/2000</t>
  </si>
  <si>
    <t>02/03/2000</t>
  </si>
  <si>
    <t>02/10/2000</t>
  </si>
  <si>
    <t>02/17/2000</t>
  </si>
  <si>
    <t>02/24/2000</t>
  </si>
  <si>
    <t>03/02/2000</t>
  </si>
  <si>
    <t>03/09/2000</t>
  </si>
  <si>
    <t>03/16/2000</t>
  </si>
  <si>
    <t>03/23/2000</t>
  </si>
  <si>
    <t>03/30/2000</t>
  </si>
  <si>
    <t>04/06/2000</t>
  </si>
  <si>
    <t>04/13/2000</t>
  </si>
  <si>
    <t>04/20/2000</t>
  </si>
  <si>
    <t>04/27/2000</t>
  </si>
  <si>
    <t>05/04/2000</t>
  </si>
  <si>
    <t>05/11/2000</t>
  </si>
  <si>
    <t>05/18/2000</t>
  </si>
  <si>
    <t>05/25/2000</t>
  </si>
  <si>
    <t>06/01/2000</t>
  </si>
  <si>
    <t>06/08/2000</t>
  </si>
  <si>
    <t>06/15/2000</t>
  </si>
  <si>
    <t>06/22/2000</t>
  </si>
  <si>
    <t>06/29/2000</t>
  </si>
  <si>
    <t>07/06/2000</t>
  </si>
  <si>
    <t>07/13/2000</t>
  </si>
  <si>
    <t>07/20/2000</t>
  </si>
  <si>
    <t>07/27/2000</t>
  </si>
  <si>
    <t>08/03/2000</t>
  </si>
  <si>
    <t>08/10/2000</t>
  </si>
  <si>
    <t>08/17/2000</t>
  </si>
  <si>
    <t>08/24/2000</t>
  </si>
  <si>
    <t>08/31/2000</t>
  </si>
  <si>
    <t>09/07/2000</t>
  </si>
  <si>
    <t>09/14/2000</t>
  </si>
  <si>
    <t>09/21/2000</t>
  </si>
  <si>
    <t>09/28/2000</t>
  </si>
  <si>
    <t>10/05/2000</t>
  </si>
  <si>
    <t>10/12/2000</t>
  </si>
  <si>
    <t>10/19/2000</t>
  </si>
  <si>
    <t>10/26/2000</t>
  </si>
  <si>
    <t>11/02/2000</t>
  </si>
  <si>
    <t>11/09/2000</t>
  </si>
  <si>
    <t>11/16/2000</t>
  </si>
  <si>
    <t>11/23/2000</t>
  </si>
  <si>
    <t>11/30/2000</t>
  </si>
  <si>
    <t>12/07/2000</t>
  </si>
  <si>
    <t>12/14/2000</t>
  </si>
  <si>
    <t>12/21/2000</t>
  </si>
  <si>
    <t>12/28/2000</t>
  </si>
  <si>
    <t>01/04/2001</t>
  </si>
  <si>
    <t>01/11/2001</t>
  </si>
  <si>
    <t>01/18/2001</t>
  </si>
  <si>
    <t>01/25/2001</t>
  </si>
  <si>
    <t>02/01/2001</t>
  </si>
  <si>
    <t>02/08/2001</t>
  </si>
  <si>
    <t>02/15/2001</t>
  </si>
  <si>
    <t>02/22/2001</t>
  </si>
  <si>
    <t>03/01/2001</t>
  </si>
  <si>
    <t>03/08/2001</t>
  </si>
  <si>
    <t>03/15/2001</t>
  </si>
  <si>
    <t>03/22/2001</t>
  </si>
  <si>
    <t>03/29/2001</t>
  </si>
  <si>
    <t>04/05/2001</t>
  </si>
  <si>
    <t>04/12/2001</t>
  </si>
  <si>
    <t>04/19/2001</t>
  </si>
  <si>
    <t>04/26/2001</t>
  </si>
  <si>
    <t>05/03/2001</t>
  </si>
  <si>
    <t>05/10/2001</t>
  </si>
  <si>
    <t>05/17/2001</t>
  </si>
  <si>
    <t>05/24/2001</t>
  </si>
  <si>
    <t>05/31/2001</t>
  </si>
  <si>
    <t>06/07/2001</t>
  </si>
  <si>
    <t>06/14/2001</t>
  </si>
  <si>
    <t>06/21/2001</t>
  </si>
  <si>
    <t>06/28/2001</t>
  </si>
  <si>
    <t>07/05/2001</t>
  </si>
  <si>
    <t>07/12/2001</t>
  </si>
  <si>
    <t>07/19/2001</t>
  </si>
  <si>
    <t>07/26/2001</t>
  </si>
  <si>
    <t>08/02/2001</t>
  </si>
  <si>
    <t>08/09/2001</t>
  </si>
  <si>
    <t>08/16/2001</t>
  </si>
  <si>
    <t>08/23/2001</t>
  </si>
  <si>
    <t>08/30/2001</t>
  </si>
  <si>
    <t>09/06/2001</t>
  </si>
  <si>
    <t>09/13/2001</t>
  </si>
  <si>
    <t>09/20/2001</t>
  </si>
  <si>
    <t>09/27/2001</t>
  </si>
  <si>
    <t>10/04/2001</t>
  </si>
  <si>
    <t>10/11/2001</t>
  </si>
  <si>
    <t>10/18/2001</t>
  </si>
  <si>
    <t>10/25/2001</t>
  </si>
  <si>
    <t>11/01/2001</t>
  </si>
  <si>
    <t>11/08/2001</t>
  </si>
  <si>
    <t>11/15/2001</t>
  </si>
  <si>
    <t>11/22/2001</t>
  </si>
  <si>
    <t>11/29/2001</t>
  </si>
  <si>
    <t>12/06/2001</t>
  </si>
  <si>
    <t>12/13/2001</t>
  </si>
  <si>
    <t>12/20/2001</t>
  </si>
  <si>
    <t>12/27/2001</t>
  </si>
  <si>
    <t>01/03/2002</t>
  </si>
  <si>
    <t>01/10/2002</t>
  </si>
  <si>
    <t>01/17/2002</t>
  </si>
  <si>
    <t>01/24/2002</t>
  </si>
  <si>
    <t>01/31/2002</t>
  </si>
  <si>
    <t>02/07/2002</t>
  </si>
  <si>
    <t>02/14/2002</t>
  </si>
  <si>
    <t>02/21/2002</t>
  </si>
  <si>
    <t>02/28/2002</t>
  </si>
  <si>
    <t>03/07/2002</t>
  </si>
  <si>
    <t>03/14/2002</t>
  </si>
  <si>
    <t>03/21/2002</t>
  </si>
  <si>
    <t>03/28/2002</t>
  </si>
  <si>
    <t>04/04/2002</t>
  </si>
  <si>
    <t>04/11/2002</t>
  </si>
  <si>
    <t>04/18/2002</t>
  </si>
  <si>
    <t>04/25/2002</t>
  </si>
  <si>
    <t>05/02/2002</t>
  </si>
  <si>
    <t>05/09/2002</t>
  </si>
  <si>
    <t>05/16/2002</t>
  </si>
  <si>
    <t>05/23/2002</t>
  </si>
  <si>
    <t>05/30/2002</t>
  </si>
  <si>
    <t>06/06/2002</t>
  </si>
  <si>
    <t>06/13/2002</t>
  </si>
  <si>
    <t>06/20/2002</t>
  </si>
  <si>
    <t>06/27/2002</t>
  </si>
  <si>
    <t>07/04/2002</t>
  </si>
  <si>
    <t>07/11/2002</t>
  </si>
  <si>
    <t>07/18/2002</t>
  </si>
  <si>
    <t>07/25/2002</t>
  </si>
  <si>
    <t>08/01/2002</t>
  </si>
  <si>
    <t>08/08/2002</t>
  </si>
  <si>
    <t>08/15/2002</t>
  </si>
  <si>
    <t>08/22/2002</t>
  </si>
  <si>
    <t>08/29/2002</t>
  </si>
  <si>
    <t>09/05/2002</t>
  </si>
  <si>
    <t>09/12/2002</t>
  </si>
  <si>
    <t>09/19/2002</t>
  </si>
  <si>
    <t>09/26/2002</t>
  </si>
  <si>
    <t>10/03/2002</t>
  </si>
  <si>
    <t>10/10/2002</t>
  </si>
  <si>
    <t>10/17/2002</t>
  </si>
  <si>
    <t>10/24/2002</t>
  </si>
  <si>
    <t>10/31/2002</t>
  </si>
  <si>
    <t>11/07/2002</t>
  </si>
  <si>
    <t>11/14/2002</t>
  </si>
  <si>
    <t>11/21/2002</t>
  </si>
  <si>
    <t>11/28/2002</t>
  </si>
  <si>
    <t>12/05/2002</t>
  </si>
  <si>
    <t>12/12/2002</t>
  </si>
  <si>
    <t>12/19/2002</t>
  </si>
  <si>
    <t>12/26/2002</t>
  </si>
  <si>
    <t>01/02/2003</t>
  </si>
  <si>
    <t>01/09/2003</t>
  </si>
  <si>
    <t>01/16/2003</t>
  </si>
  <si>
    <t>01/23/2003</t>
  </si>
  <si>
    <t>01/30/2003</t>
  </si>
  <si>
    <t>02/06/2003</t>
  </si>
  <si>
    <t>02/13/2003</t>
  </si>
  <si>
    <t>02/20/2003</t>
  </si>
  <si>
    <t>02/27/2003</t>
  </si>
  <si>
    <t>03/06/2003</t>
  </si>
  <si>
    <t>03/13/2003</t>
  </si>
  <si>
    <t>03/20/2003</t>
  </si>
  <si>
    <t>03/27/2003</t>
  </si>
  <si>
    <t>04/03/2003</t>
  </si>
  <si>
    <t>04/10/2003</t>
  </si>
  <si>
    <t>04/17/2003</t>
  </si>
  <si>
    <t>04/24/2003</t>
  </si>
  <si>
    <t>05/01/2003</t>
  </si>
  <si>
    <t>05/08/2003</t>
  </si>
  <si>
    <t>05/15/2003</t>
  </si>
  <si>
    <t>05/22/2003</t>
  </si>
  <si>
    <t>05/29/2003</t>
  </si>
  <si>
    <t>06/05/2003</t>
  </si>
  <si>
    <t>06/12/2003</t>
  </si>
  <si>
    <t>06/19/2003</t>
  </si>
  <si>
    <t>06/26/2003</t>
  </si>
  <si>
    <t>07/03/2003</t>
  </si>
  <si>
    <t>07/10/2003</t>
  </si>
  <si>
    <t>07/17/2003</t>
  </si>
  <si>
    <t>07/24/2003</t>
  </si>
  <si>
    <t>07/31/2003</t>
  </si>
  <si>
    <t>08/07/2003</t>
  </si>
  <si>
    <t>08/14/2003</t>
  </si>
  <si>
    <t>08/21/2003</t>
  </si>
  <si>
    <t>08/28/2003</t>
  </si>
  <si>
    <t>09/04/2003</t>
  </si>
  <si>
    <t>09/11/2003</t>
  </si>
  <si>
    <t>09/18/2003</t>
  </si>
  <si>
    <t>09/25/2003</t>
  </si>
  <si>
    <t>10/02/2003</t>
  </si>
  <si>
    <t>10/09/2003</t>
  </si>
  <si>
    <t>10/16/2003</t>
  </si>
  <si>
    <t>10/23/2003</t>
  </si>
  <si>
    <t>10/30/2003</t>
  </si>
  <si>
    <t>11/06/2003</t>
  </si>
  <si>
    <t>11/13/2003</t>
  </si>
  <si>
    <t>11/20/2003</t>
  </si>
  <si>
    <t>11/27/2003</t>
  </si>
  <si>
    <t>12/04/2003</t>
  </si>
  <si>
    <t>12/11/2003</t>
  </si>
  <si>
    <t>12/18/2003</t>
  </si>
  <si>
    <t>12/25/2003</t>
  </si>
  <si>
    <t>01/01/2004</t>
  </si>
  <si>
    <t>01/08/2004</t>
  </si>
  <si>
    <t>01/15/2004</t>
  </si>
  <si>
    <t>01/22/2004</t>
  </si>
  <si>
    <t>01/29/2004</t>
  </si>
  <si>
    <t>02/05/2004</t>
  </si>
  <si>
    <t>02/12/2004</t>
  </si>
  <si>
    <t>02/19/2004</t>
  </si>
  <si>
    <t>02/26/2004</t>
  </si>
  <si>
    <t>03/04/2004</t>
  </si>
  <si>
    <t>03/11/2004</t>
  </si>
  <si>
    <t>03/18/2004</t>
  </si>
  <si>
    <t>03/25/2004</t>
  </si>
  <si>
    <t>04/01/2004</t>
  </si>
  <si>
    <t>04/08/2004</t>
  </si>
  <si>
    <t>04/15/2004</t>
  </si>
  <si>
    <t>04/22/2004</t>
  </si>
  <si>
    <t>04/29/2004</t>
  </si>
  <si>
    <t>05/06/2004</t>
  </si>
  <si>
    <t>05/13/2004</t>
  </si>
  <si>
    <t>05/20/2004</t>
  </si>
  <si>
    <t>05/27/2004</t>
  </si>
  <si>
    <t>06/03/2004</t>
  </si>
  <si>
    <t>06/10/2004</t>
  </si>
  <si>
    <t>06/17/2004</t>
  </si>
  <si>
    <t>06/24/2004</t>
  </si>
  <si>
    <t>07/01/2004</t>
  </si>
  <si>
    <t>07/08/2004</t>
  </si>
  <si>
    <t>07/15/2004</t>
  </si>
  <si>
    <t>07/22/2004</t>
  </si>
  <si>
    <t>07/29/2004</t>
  </si>
  <si>
    <t>08/05/2004</t>
  </si>
  <si>
    <t>08/12/2004</t>
  </si>
  <si>
    <t>08/19/2004</t>
  </si>
  <si>
    <t>08/26/2004</t>
  </si>
  <si>
    <t>09/02/2004</t>
  </si>
  <si>
    <t>09/09/2004</t>
  </si>
  <si>
    <t>09/16/2004</t>
  </si>
  <si>
    <t>09/23/2004</t>
  </si>
  <si>
    <t>10/30/2004</t>
  </si>
  <si>
    <t>10/07/2004</t>
  </si>
  <si>
    <t>10/14/2004</t>
  </si>
  <si>
    <t>10/21/2004</t>
  </si>
  <si>
    <t>10/28/2004</t>
  </si>
  <si>
    <t>11/04/2004</t>
  </si>
  <si>
    <t>11/11/2004</t>
  </si>
  <si>
    <t>11/18/2004</t>
  </si>
  <si>
    <t>11/25/2004</t>
  </si>
  <si>
    <t>12/02/2004</t>
  </si>
  <si>
    <t>12/09/2004</t>
  </si>
  <si>
    <t>12/16/2004</t>
  </si>
  <si>
    <t>12/23/2004</t>
  </si>
  <si>
    <t>12/30/2004</t>
  </si>
  <si>
    <t>01/06/2005</t>
  </si>
  <si>
    <t>01/13/2005</t>
  </si>
  <si>
    <t>01/20/2005</t>
  </si>
  <si>
    <t>01/27/2005</t>
  </si>
  <si>
    <t>02/03/2005</t>
  </si>
  <si>
    <t>02/10/2005</t>
  </si>
  <si>
    <t>02/17/2005</t>
  </si>
  <si>
    <t>02/24/2005</t>
  </si>
  <si>
    <t>n/a</t>
  </si>
  <si>
    <t>03/03/2005</t>
  </si>
  <si>
    <t>03/10/2005</t>
  </si>
  <si>
    <t>03/17/2005</t>
  </si>
  <si>
    <t>03/24/2005</t>
  </si>
  <si>
    <t>03/31/2005</t>
  </si>
  <si>
    <t>04/07/2005</t>
  </si>
  <si>
    <t>04/14/2005</t>
  </si>
  <si>
    <t>04/21/2005</t>
  </si>
  <si>
    <t>04/28/2005</t>
  </si>
  <si>
    <t>05/05/2005</t>
  </si>
  <si>
    <t>05/12/2005</t>
  </si>
  <si>
    <t>05/19/2005</t>
  </si>
  <si>
    <t>05/26/2005</t>
  </si>
  <si>
    <t>06/02/2005</t>
  </si>
  <si>
    <t>06/09/2005</t>
  </si>
  <si>
    <t>06/16/2005</t>
  </si>
  <si>
    <t>06/23/2005</t>
  </si>
  <si>
    <t>06/30/2005</t>
  </si>
  <si>
    <t>07/07/2005</t>
  </si>
  <si>
    <t>07/14/2005</t>
  </si>
  <si>
    <t>07/21/2005</t>
  </si>
  <si>
    <t>07/28/2005</t>
  </si>
  <si>
    <t>08/04/2005</t>
  </si>
  <si>
    <t>08/11/2005</t>
  </si>
  <si>
    <t>08/18/2005</t>
  </si>
  <si>
    <t>08/25/2005</t>
  </si>
  <si>
    <t>09/01/2005</t>
  </si>
  <si>
    <t>09/08/2005</t>
  </si>
  <si>
    <t>09/15/2005</t>
  </si>
  <si>
    <t>09/22/2005</t>
  </si>
  <si>
    <t>09/29/2005</t>
  </si>
  <si>
    <t>10/06/2005</t>
  </si>
  <si>
    <t>10/13/2005</t>
  </si>
  <si>
    <t>10/20/2005</t>
  </si>
  <si>
    <t>10/27/2005</t>
  </si>
  <si>
    <t>11/03/2005</t>
  </si>
  <si>
    <t>11/10/2005</t>
  </si>
  <si>
    <t>11/17/2005</t>
  </si>
  <si>
    <t>11/24/2005</t>
  </si>
  <si>
    <t>12/01/2005</t>
  </si>
  <si>
    <t>12/08/2005</t>
  </si>
  <si>
    <t>12/15/2005</t>
  </si>
  <si>
    <t>12/22/2005</t>
  </si>
  <si>
    <t>12/29/2005</t>
  </si>
  <si>
    <t>01/05/2006</t>
  </si>
  <si>
    <t>01/12/2006</t>
  </si>
  <si>
    <t>01/19/2006</t>
  </si>
  <si>
    <t>01/26/2006</t>
  </si>
  <si>
    <t>02/02/2006</t>
  </si>
  <si>
    <t>02/09/2006</t>
  </si>
  <si>
    <t>02/16/2006</t>
  </si>
  <si>
    <t>02/23/2006</t>
  </si>
  <si>
    <t>03/02/2006</t>
  </si>
  <si>
    <t>03/09/2006</t>
  </si>
  <si>
    <t>03/16/2006</t>
  </si>
  <si>
    <t>03/23/2006</t>
  </si>
  <si>
    <t>03/30/2006</t>
  </si>
  <si>
    <t>04/06/2006</t>
  </si>
  <si>
    <t>04/13/2006</t>
  </si>
  <si>
    <t>04/20/2006</t>
  </si>
  <si>
    <t>04/27/2006</t>
  </si>
  <si>
    <t>05/04/2006</t>
  </si>
  <si>
    <t>05/11/2006</t>
  </si>
  <si>
    <t>05/18/2006</t>
  </si>
  <si>
    <t>05/25/2006</t>
  </si>
  <si>
    <t>06/01/2006</t>
  </si>
  <si>
    <t>06/08/2006</t>
  </si>
  <si>
    <t>06/15/2006</t>
  </si>
  <si>
    <t>06/22/2006</t>
  </si>
  <si>
    <t>06/29/2006</t>
  </si>
  <si>
    <t>07/2006/2006</t>
  </si>
  <si>
    <t>07/13/2006</t>
  </si>
  <si>
    <t>07/20/2006</t>
  </si>
  <si>
    <t>08/03/2006</t>
  </si>
  <si>
    <t>08/10/2006</t>
  </si>
  <si>
    <t>08/17/2006</t>
  </si>
  <si>
    <t>08/24/2006</t>
  </si>
  <si>
    <t>09/07/2006</t>
  </si>
  <si>
    <t>09/14/2006</t>
  </si>
  <si>
    <t>09/21/2006</t>
  </si>
  <si>
    <t>09/28/2006</t>
  </si>
  <si>
    <t>10/05/2006</t>
  </si>
  <si>
    <t>10/12/2006</t>
  </si>
  <si>
    <t>10/19/2006</t>
  </si>
  <si>
    <t>10/26/2006</t>
  </si>
  <si>
    <t>11/02/2006</t>
  </si>
  <si>
    <t>11/09/2006</t>
  </si>
  <si>
    <t>11/16/2006</t>
  </si>
  <si>
    <t>11/23/2006</t>
  </si>
  <si>
    <t>11/30/2006</t>
  </si>
  <si>
    <t>12/07/2006</t>
  </si>
  <si>
    <t>12/14/2006</t>
  </si>
  <si>
    <t>12/21/2006</t>
  </si>
  <si>
    <t>12/28/2006</t>
  </si>
  <si>
    <t>01/04/2007</t>
  </si>
  <si>
    <t>01/11/2007</t>
  </si>
  <si>
    <t>01/18/2007</t>
  </si>
  <si>
    <t>01/25/2007</t>
  </si>
  <si>
    <t>02/01/2007</t>
  </si>
  <si>
    <t>02/08/2007</t>
  </si>
  <si>
    <t>02/15/2007</t>
  </si>
  <si>
    <t>02/22/2007</t>
  </si>
  <si>
    <t>03/01/2007</t>
  </si>
  <si>
    <t>03/08/2007</t>
  </si>
  <si>
    <t>03/15/2007</t>
  </si>
  <si>
    <t>03/22/2007</t>
  </si>
  <si>
    <t>03/29/2007</t>
  </si>
  <si>
    <t>04/05/2007</t>
  </si>
  <si>
    <t>04/12/2007</t>
  </si>
  <si>
    <t>04/19/2007</t>
  </si>
  <si>
    <t>04/26/2007</t>
  </si>
  <si>
    <t>05/03/2007</t>
  </si>
  <si>
    <t>05/10/2007</t>
  </si>
  <si>
    <t>05/17/2007</t>
  </si>
  <si>
    <t>05/24/2007</t>
  </si>
  <si>
    <t>05/31/2007</t>
  </si>
  <si>
    <t>06/07/2007</t>
  </si>
  <si>
    <t>06/14/2007</t>
  </si>
  <si>
    <t>06/21/2007</t>
  </si>
  <si>
    <t>06/28/2007</t>
  </si>
  <si>
    <t>07/05/2007</t>
  </si>
  <si>
    <t>07/12/2007</t>
  </si>
  <si>
    <t>07/19/2007</t>
  </si>
  <si>
    <t>07/26/2007</t>
  </si>
  <si>
    <t>08/02/2007</t>
  </si>
  <si>
    <t>08/09/2007</t>
  </si>
  <si>
    <t>08/16/2007</t>
  </si>
  <si>
    <t>08/30/2007</t>
  </si>
  <si>
    <t>09/06/2007</t>
  </si>
  <si>
    <t>09/13/2007</t>
  </si>
  <si>
    <t>09/20/2007</t>
  </si>
  <si>
    <t>09/27/2007</t>
  </si>
  <si>
    <t>10/04/2007</t>
  </si>
  <si>
    <t>10/11/2007</t>
  </si>
  <si>
    <t>10/18/2007</t>
  </si>
  <si>
    <t>10/25/2007</t>
  </si>
  <si>
    <t>11/01/2007</t>
  </si>
  <si>
    <t>11/08/2007</t>
  </si>
  <si>
    <t>11/15/2007</t>
  </si>
  <si>
    <t>11/22/2007</t>
  </si>
  <si>
    <t>11/29/2007</t>
  </si>
  <si>
    <t>12/06/2007</t>
  </si>
  <si>
    <t>12/13/2007</t>
  </si>
  <si>
    <t>12/20/2007</t>
  </si>
  <si>
    <t>12/27/2007</t>
  </si>
  <si>
    <t>01/03/2008</t>
  </si>
  <si>
    <t>01/10/2008</t>
  </si>
  <si>
    <t>01/17/2008</t>
  </si>
  <si>
    <t>01/24/2008</t>
  </si>
  <si>
    <t>01/31/2008</t>
  </si>
  <si>
    <t>02/07/2008</t>
  </si>
  <si>
    <t>02/14/2008</t>
  </si>
  <si>
    <t>02/21/2008</t>
  </si>
  <si>
    <t>02/28/2008</t>
  </si>
  <si>
    <t>03/06/2008</t>
  </si>
  <si>
    <t>03/13/2008</t>
  </si>
  <si>
    <t>03/20/2008</t>
  </si>
  <si>
    <t>03/27/2008</t>
  </si>
  <si>
    <t>04/03/2008</t>
  </si>
  <si>
    <t>04/10/2008</t>
  </si>
  <si>
    <t>04/17/2008</t>
  </si>
  <si>
    <t>04/24/2008</t>
  </si>
  <si>
    <t>05/01/2008</t>
  </si>
  <si>
    <t>05/08/2008</t>
  </si>
  <si>
    <t>05/15/2008</t>
  </si>
  <si>
    <t>05/22/2008</t>
  </si>
  <si>
    <t>05/29/2008</t>
  </si>
  <si>
    <t>06/05/2008</t>
  </si>
  <si>
    <t>06/12/2008</t>
  </si>
  <si>
    <t>06/19/2008</t>
  </si>
  <si>
    <t>06/26/2008</t>
  </si>
  <si>
    <t>07/03/2008</t>
  </si>
  <si>
    <t>07/10/2008</t>
  </si>
  <si>
    <t>07/17/2008</t>
  </si>
  <si>
    <t>07/24/2008</t>
  </si>
  <si>
    <t>07/31/2008</t>
  </si>
  <si>
    <t>2008/07/2008</t>
  </si>
  <si>
    <t>2008/14/2008</t>
  </si>
  <si>
    <t>2008/21/2008</t>
  </si>
  <si>
    <t>2008/28/2008</t>
  </si>
  <si>
    <t>09/04/2008</t>
  </si>
  <si>
    <t>09/11/2008</t>
  </si>
  <si>
    <t>09/18/2008</t>
  </si>
  <si>
    <t>09/25/2008</t>
  </si>
  <si>
    <t>10/02/2008</t>
  </si>
  <si>
    <t>10/09/2008</t>
  </si>
  <si>
    <t>10/16/2008</t>
  </si>
  <si>
    <t>10/23/2008</t>
  </si>
  <si>
    <t>10/30/2008</t>
  </si>
  <si>
    <t>11/06/2008</t>
  </si>
  <si>
    <t>11/13/2008</t>
  </si>
  <si>
    <t>11/20/2008</t>
  </si>
  <si>
    <t>11/27/2008</t>
  </si>
  <si>
    <t>12/04/2008</t>
  </si>
  <si>
    <t>12/11/2008</t>
  </si>
  <si>
    <t>12/18/2008</t>
  </si>
  <si>
    <t>12/25/2008</t>
  </si>
  <si>
    <t>01/01/2009</t>
  </si>
  <si>
    <t>01/08/2009</t>
  </si>
  <si>
    <t>01/15/2009</t>
  </si>
  <si>
    <t>01/22/2009</t>
  </si>
  <si>
    <t>01/29/2009</t>
  </si>
  <si>
    <t>02/05/2009</t>
  </si>
  <si>
    <t>02/12/2009</t>
  </si>
  <si>
    <t>02/19/2009</t>
  </si>
  <si>
    <t>02/26/2009</t>
  </si>
  <si>
    <t>03/05/2009</t>
  </si>
  <si>
    <t>03/12/2009</t>
  </si>
  <si>
    <t>03/19/2009</t>
  </si>
  <si>
    <t>03/26/2009</t>
  </si>
  <si>
    <t>04/02/2009</t>
  </si>
  <si>
    <t>04/09/2009</t>
  </si>
  <si>
    <t>04/16/2009</t>
  </si>
  <si>
    <t>04/23/2009</t>
  </si>
  <si>
    <t>04/30/2009</t>
  </si>
  <si>
    <t>05/07/2009</t>
  </si>
  <si>
    <t>05/14/2009</t>
  </si>
  <si>
    <t>05/21/2009</t>
  </si>
  <si>
    <t>05/28/2009</t>
  </si>
  <si>
    <t>06/04/2009</t>
  </si>
  <si>
    <t>06/11/2009</t>
  </si>
  <si>
    <t>06/18/2009</t>
  </si>
  <si>
    <t>06/25/2009</t>
  </si>
  <si>
    <t>07/02/2009</t>
  </si>
  <si>
    <t>07/09/2009</t>
  </si>
  <si>
    <t>07/16/2009</t>
  </si>
  <si>
    <t>07/23/2009</t>
  </si>
  <si>
    <t>07/30/2009</t>
  </si>
  <si>
    <t>08/06/2009</t>
  </si>
  <si>
    <t>08/13/2009</t>
  </si>
  <si>
    <t>08/20/2009</t>
  </si>
  <si>
    <t>08/27/2009</t>
  </si>
  <si>
    <t>09/03/2009</t>
  </si>
  <si>
    <t>09/10/2009</t>
  </si>
  <si>
    <t>09/17/2009</t>
  </si>
  <si>
    <t>09/24/2009</t>
  </si>
  <si>
    <t>10/01/2009</t>
  </si>
  <si>
    <t>10/08/2009</t>
  </si>
  <si>
    <t>10/15/2009</t>
  </si>
  <si>
    <t>10/22/2009</t>
  </si>
  <si>
    <t>10/29/2009</t>
  </si>
  <si>
    <t>11/05/2009</t>
  </si>
  <si>
    <t>11/12/2009</t>
  </si>
  <si>
    <t>11/19/2009</t>
  </si>
  <si>
    <t>11/26/2009</t>
  </si>
  <si>
    <t>12/03/2009</t>
  </si>
  <si>
    <t>12/10/2009</t>
  </si>
  <si>
    <t>12/17/2009</t>
  </si>
  <si>
    <t>12/24/2009</t>
  </si>
  <si>
    <t>12/31/2009</t>
  </si>
  <si>
    <t>01/07/2010</t>
  </si>
  <si>
    <t>01/14/2010</t>
  </si>
  <si>
    <t>01/21/2010</t>
  </si>
  <si>
    <t>01/28/2010</t>
  </si>
  <si>
    <t>02/04/2010</t>
  </si>
  <si>
    <t>02/11/2010</t>
  </si>
  <si>
    <t>02/18/2010</t>
  </si>
  <si>
    <t>02/25/2010</t>
  </si>
  <si>
    <t>03/04/2010</t>
  </si>
  <si>
    <t>03/11/2010</t>
  </si>
  <si>
    <t>03/18/2010</t>
  </si>
  <si>
    <t>03/25/2010</t>
  </si>
  <si>
    <t>04/01/2010</t>
  </si>
  <si>
    <t>04/08/2010</t>
  </si>
  <si>
    <t>04/15/2010</t>
  </si>
  <si>
    <t>04/22/2010</t>
  </si>
  <si>
    <t>04/29/2010</t>
  </si>
  <si>
    <t>05/06/2010</t>
  </si>
  <si>
    <t>05/13/2010</t>
  </si>
  <si>
    <t>05/20/2010</t>
  </si>
  <si>
    <t>05/27/2010</t>
  </si>
  <si>
    <t>06/03/2010</t>
  </si>
  <si>
    <t>06/10/2010</t>
  </si>
  <si>
    <t>06/17/2010</t>
  </si>
  <si>
    <t>06/24/2010</t>
  </si>
  <si>
    <t>07/01/2010</t>
  </si>
  <si>
    <t>07/08/2010</t>
  </si>
  <si>
    <t>07/15/2010</t>
  </si>
  <si>
    <t>07/22/2010</t>
  </si>
  <si>
    <t>07/29/2010</t>
  </si>
  <si>
    <t>08/05/2010</t>
  </si>
  <si>
    <t>08/12/2010</t>
  </si>
  <si>
    <t>08/19/2010</t>
  </si>
  <si>
    <t>08/26/2010</t>
  </si>
  <si>
    <t>09/02/2010</t>
  </si>
  <si>
    <t>09/09/2010</t>
  </si>
  <si>
    <t>09/16/2010</t>
  </si>
  <si>
    <t>09/23/2010</t>
  </si>
  <si>
    <t>09/30/2010</t>
  </si>
  <si>
    <t>10/07/2010</t>
  </si>
  <si>
    <t>10/14/2010</t>
  </si>
  <si>
    <t>10/21/2010</t>
  </si>
  <si>
    <t>10/28/2010</t>
  </si>
  <si>
    <t>11/04/2010</t>
  </si>
  <si>
    <t>11/11/2010</t>
  </si>
  <si>
    <t>11/18/2010</t>
  </si>
  <si>
    <t>11/25/2010</t>
  </si>
  <si>
    <t>12/02/2010</t>
  </si>
  <si>
    <t>12/09/2010</t>
  </si>
  <si>
    <t>12/16/2010</t>
  </si>
  <si>
    <t>12/23/2010</t>
  </si>
  <si>
    <t>12/30/2010</t>
  </si>
  <si>
    <t>01/06/2011</t>
  </si>
  <si>
    <t>01/13/2011</t>
  </si>
  <si>
    <t>01/20/2011</t>
  </si>
  <si>
    <t>01/27/2011</t>
  </si>
  <si>
    <t>02/03/2011</t>
  </si>
  <si>
    <t>02/10/2011</t>
  </si>
  <si>
    <t>02/17/2011</t>
  </si>
  <si>
    <t>02/24/2011</t>
  </si>
  <si>
    <t>03/03/2011</t>
  </si>
  <si>
    <t>03/10/2011</t>
  </si>
  <si>
    <t>03/17/2011</t>
  </si>
  <si>
    <t>03/24/2011</t>
  </si>
  <si>
    <t>03/31/2011</t>
  </si>
  <si>
    <t>04/07/2011</t>
  </si>
  <si>
    <t>04/14/2011</t>
  </si>
  <si>
    <t>04/21/2011</t>
  </si>
  <si>
    <t>04/28/2011</t>
  </si>
  <si>
    <t>05/05/2011</t>
  </si>
  <si>
    <t>05/12/2011</t>
  </si>
  <si>
    <t>05/19/2011</t>
  </si>
  <si>
    <t>05/28/2011</t>
  </si>
  <si>
    <t>06/02/2011</t>
  </si>
  <si>
    <t>06/09/2011</t>
  </si>
  <si>
    <t>06/16/2011</t>
  </si>
  <si>
    <t>06/23/2011</t>
  </si>
  <si>
    <t>06/30/2011</t>
  </si>
  <si>
    <t>07/07/2011</t>
  </si>
  <si>
    <t>07/14/2011</t>
  </si>
  <si>
    <t>07/21/2011</t>
  </si>
  <si>
    <t>07/28/2011</t>
  </si>
  <si>
    <t>08/04/2011</t>
  </si>
  <si>
    <t>08/11/2011</t>
  </si>
  <si>
    <t>08/18/2011</t>
  </si>
  <si>
    <t>08/25/2011</t>
  </si>
  <si>
    <t>09/01/2011</t>
  </si>
  <si>
    <t>09/08/2011</t>
  </si>
  <si>
    <t>09/15/2011</t>
  </si>
  <si>
    <t>09/22/2011</t>
  </si>
  <si>
    <t>09/29/2011</t>
  </si>
  <si>
    <t>10/06/2011</t>
  </si>
  <si>
    <t>10/13/2011</t>
  </si>
  <si>
    <t>10/20/2011</t>
  </si>
  <si>
    <t>10/27/2011</t>
  </si>
  <si>
    <t>11/03/2011</t>
  </si>
  <si>
    <t>11/10/2011</t>
  </si>
  <si>
    <t>11/17/2011</t>
  </si>
  <si>
    <t>11/24/2011</t>
  </si>
  <si>
    <t>12/01/2011</t>
  </si>
  <si>
    <t>12/08/2011</t>
  </si>
  <si>
    <t>12/15/2011</t>
  </si>
  <si>
    <t>12/22/2011</t>
  </si>
  <si>
    <t>12/29/2011</t>
  </si>
  <si>
    <t>01/5/2012</t>
  </si>
  <si>
    <t>01/12/2012</t>
  </si>
  <si>
    <t>01/19/2012</t>
  </si>
  <si>
    <t>01/26/2012</t>
  </si>
  <si>
    <t>02/02/2012</t>
  </si>
  <si>
    <t>02/09/2012</t>
  </si>
  <si>
    <t>02/16/2012</t>
  </si>
  <si>
    <t>02/23/2012</t>
  </si>
  <si>
    <t>03/01/2012</t>
  </si>
  <si>
    <t>03/08/2012</t>
  </si>
  <si>
    <t>03/15/2012</t>
  </si>
  <si>
    <t>03/22/2012</t>
  </si>
  <si>
    <t>03/29/2012</t>
  </si>
  <si>
    <t>04/05/2012</t>
  </si>
  <si>
    <t>04/12/2012</t>
  </si>
  <si>
    <t>04/19/2012</t>
  </si>
  <si>
    <t>04/26/2012</t>
  </si>
  <si>
    <t>05/03/2012</t>
  </si>
  <si>
    <t>05/10/2012</t>
  </si>
  <si>
    <t>05/17/2012</t>
  </si>
  <si>
    <t>05/24/2012</t>
  </si>
  <si>
    <t>05/31/2012</t>
  </si>
  <si>
    <t>06/07/2012</t>
  </si>
  <si>
    <t>06/14/2012</t>
  </si>
  <si>
    <t>06/21/2012</t>
  </si>
  <si>
    <t>06/28/2012</t>
  </si>
  <si>
    <t>07/05/2012</t>
  </si>
  <si>
    <t>07/12/2012</t>
  </si>
  <si>
    <t>07/19/2012</t>
  </si>
  <si>
    <t>07/26/2012</t>
  </si>
  <si>
    <t>08/02/2012</t>
  </si>
  <si>
    <t>08/09/2012</t>
  </si>
  <si>
    <t>08/16/2012</t>
  </si>
  <si>
    <t>08/23/2012</t>
  </si>
  <si>
    <t>08/30/2012</t>
  </si>
  <si>
    <t>09/06/2012</t>
  </si>
  <si>
    <t>09/13/2012</t>
  </si>
  <si>
    <t>09/20/2012</t>
  </si>
  <si>
    <t>09/27/2012</t>
  </si>
  <si>
    <t>10/04/2012</t>
  </si>
  <si>
    <t>10/11/2012</t>
  </si>
  <si>
    <t>10/18/2012</t>
  </si>
  <si>
    <t>10/25/2012</t>
  </si>
  <si>
    <t>11/01/2012</t>
  </si>
  <si>
    <t>11/08/2012</t>
  </si>
  <si>
    <t>11/15/2012</t>
  </si>
  <si>
    <t>11/22/2012</t>
  </si>
  <si>
    <t>11/29/2012</t>
  </si>
  <si>
    <t>12/06/2012</t>
  </si>
  <si>
    <t>12/13/2012</t>
  </si>
  <si>
    <t>12/20/2012</t>
  </si>
  <si>
    <t>12/27/2012</t>
  </si>
  <si>
    <t>01/03/2013</t>
  </si>
  <si>
    <t>01/10/2013</t>
  </si>
  <si>
    <t>01/17/2013</t>
  </si>
  <si>
    <t>01/24/2013</t>
  </si>
  <si>
    <t>01/31/2013</t>
  </si>
  <si>
    <t>02/07/2013</t>
  </si>
  <si>
    <t>02/14/2013</t>
  </si>
  <si>
    <t>02/21/2013</t>
  </si>
  <si>
    <t>02/28/2013</t>
  </si>
  <si>
    <t>03/07/2013</t>
  </si>
  <si>
    <t>03/14/2013</t>
  </si>
  <si>
    <t>03/21/2013</t>
  </si>
  <si>
    <t>03/28/2013</t>
  </si>
  <si>
    <t>04/04/2013</t>
  </si>
  <si>
    <t>04/11/2013</t>
  </si>
  <si>
    <t>04/18/2013</t>
  </si>
  <si>
    <t>04/25/2013</t>
  </si>
  <si>
    <t>05/02/2013</t>
  </si>
  <si>
    <t>05/09/2013</t>
  </si>
  <si>
    <t>05/16/2013</t>
  </si>
  <si>
    <t>05/23/2013</t>
  </si>
  <si>
    <t>05/30/2013</t>
  </si>
  <si>
    <t>06/06/2013</t>
  </si>
  <si>
    <t>06/13/2013</t>
  </si>
  <si>
    <t>06/20/2013</t>
  </si>
  <si>
    <t>06/27/2013</t>
  </si>
  <si>
    <t>07/04/2013</t>
  </si>
  <si>
    <t>07/11/2013</t>
  </si>
  <si>
    <t>07/18/2013</t>
  </si>
  <si>
    <t>07/25/2013</t>
  </si>
  <si>
    <t>08/01/2013</t>
  </si>
  <si>
    <t>08/08/2013</t>
  </si>
  <si>
    <t>08/15/2013</t>
  </si>
  <si>
    <t>08/22/2013</t>
  </si>
  <si>
    <t>08/29/2013</t>
  </si>
  <si>
    <t>09/05/2013</t>
  </si>
  <si>
    <t>09/12/2013</t>
  </si>
  <si>
    <t>09/19/2013</t>
  </si>
  <si>
    <t>09/26/2013</t>
  </si>
  <si>
    <t>10/03/2013</t>
  </si>
  <si>
    <t>10/10/2013</t>
  </si>
  <si>
    <t>10/17/2013</t>
  </si>
  <si>
    <t>10/24 /2013</t>
  </si>
  <si>
    <t>10/31 /2013</t>
  </si>
  <si>
    <t>11/07 /2013</t>
  </si>
  <si>
    <t>11/14 /2013</t>
  </si>
  <si>
    <t>11/21 /2013</t>
  </si>
  <si>
    <t>11/28 /2013</t>
  </si>
  <si>
    <t>12/05 /2013</t>
  </si>
  <si>
    <t>12/12 /2013</t>
  </si>
  <si>
    <t>12/19 /2013</t>
  </si>
  <si>
    <t>12/26/2013</t>
  </si>
  <si>
    <t>01/02/2014</t>
  </si>
  <si>
    <t>01/09/2014</t>
  </si>
  <si>
    <t>01/16/2014</t>
  </si>
  <si>
    <t>01/23/2014</t>
  </si>
  <si>
    <t>01/30/2014</t>
  </si>
  <si>
    <t>02/06/2014</t>
  </si>
  <si>
    <t>02/13/2014</t>
  </si>
  <si>
    <t>02/20/2014</t>
  </si>
  <si>
    <t>02/27/2014</t>
  </si>
  <si>
    <t>03/06/2014</t>
  </si>
  <si>
    <t>03/13/2014</t>
  </si>
  <si>
    <t>03/20/2014</t>
  </si>
  <si>
    <t>03/27/2014</t>
  </si>
  <si>
    <t>04/03/2014</t>
  </si>
  <si>
    <t>04/10/2014</t>
  </si>
  <si>
    <t>04/17/2014</t>
  </si>
  <si>
    <t>04/24/2014</t>
  </si>
  <si>
    <t>05/01/2014</t>
  </si>
  <si>
    <t>05/08/2014</t>
  </si>
  <si>
    <t>05/15/2014</t>
  </si>
  <si>
    <t>05/22/2014</t>
  </si>
  <si>
    <t>05/29/2014</t>
  </si>
  <si>
    <t>06/05/2014</t>
  </si>
  <si>
    <t>06/12/2014</t>
  </si>
  <si>
    <t>06/19/2014</t>
  </si>
  <si>
    <t>06/26/2014</t>
  </si>
  <si>
    <t>07/03/2014</t>
  </si>
  <si>
    <t>07/10/2014</t>
  </si>
  <si>
    <t>07/17/2014</t>
  </si>
  <si>
    <t>07/24/2014</t>
  </si>
  <si>
    <t>07/31/2014</t>
  </si>
  <si>
    <t>08/07/2014</t>
  </si>
  <si>
    <t>08/14/2014</t>
  </si>
  <si>
    <t>08/21/2014</t>
  </si>
  <si>
    <t>08/28/2014</t>
  </si>
  <si>
    <t>09/04/2014</t>
  </si>
  <si>
    <t>09/11/2014</t>
  </si>
  <si>
    <t>09/18/2014</t>
  </si>
  <si>
    <t>09/25/2014</t>
  </si>
  <si>
    <t>10/02/2014</t>
  </si>
  <si>
    <t>10/09/2014</t>
  </si>
  <si>
    <t>10/16/2014</t>
  </si>
  <si>
    <t>10/23/2014</t>
  </si>
  <si>
    <t>10/30/2014</t>
  </si>
  <si>
    <t>11/06/2014</t>
  </si>
  <si>
    <t>11/13/2014</t>
  </si>
  <si>
    <t>11/20/2014</t>
  </si>
  <si>
    <t>11/27/2014</t>
  </si>
  <si>
    <t>12/04/2014</t>
  </si>
  <si>
    <t>12/11/2014</t>
  </si>
  <si>
    <t>12/18/2014</t>
  </si>
  <si>
    <t>12/25/2014</t>
  </si>
  <si>
    <t>1/1/2015</t>
  </si>
  <si>
    <t>1/8/2015</t>
  </si>
  <si>
    <t>1/15/2015</t>
  </si>
  <si>
    <t>1/22/2015</t>
  </si>
  <si>
    <t>1/29/2015</t>
  </si>
  <si>
    <t>2/05/2015</t>
  </si>
  <si>
    <t>2/12/2015</t>
  </si>
  <si>
    <t>2/19/2015</t>
  </si>
  <si>
    <t>2/26/2015</t>
  </si>
  <si>
    <t>3/05/2015</t>
  </si>
  <si>
    <t>3/12/2015</t>
  </si>
  <si>
    <t>3/19/2015</t>
  </si>
  <si>
    <t>3/26/2015</t>
  </si>
  <si>
    <t>4/02/2015</t>
  </si>
  <si>
    <t>4/09/2015</t>
  </si>
  <si>
    <t>4/16/2015</t>
  </si>
  <si>
    <t>4/23/2015</t>
  </si>
  <si>
    <t>4/30/2015</t>
  </si>
  <si>
    <t>5/07/2015</t>
  </si>
  <si>
    <t>5/14/2015</t>
  </si>
  <si>
    <t>5/21/2015</t>
  </si>
  <si>
    <t>5/28/2015</t>
  </si>
  <si>
    <t>6/04/2015</t>
  </si>
  <si>
    <t>6/11/2015</t>
  </si>
  <si>
    <t>6/18/2015</t>
  </si>
  <si>
    <t>6/25/2015</t>
  </si>
  <si>
    <t>7/02/2015</t>
  </si>
  <si>
    <t>7/09/2015</t>
  </si>
  <si>
    <t>7/16/2015</t>
  </si>
  <si>
    <t>7/23/2015</t>
  </si>
  <si>
    <t>7/30/2015</t>
  </si>
  <si>
    <t>8/06/2015</t>
  </si>
  <si>
    <t>8/13/2015</t>
  </si>
  <si>
    <t>8/20/2015</t>
  </si>
  <si>
    <t>8/27/2015</t>
  </si>
  <si>
    <t>9/03/2015</t>
  </si>
  <si>
    <t>9/10/2015</t>
  </si>
  <si>
    <t>9/17/2015</t>
  </si>
  <si>
    <t>9/24/2015</t>
  </si>
  <si>
    <t>10/01/2015</t>
  </si>
  <si>
    <t>10/08/2015</t>
  </si>
  <si>
    <t>10/15/2015</t>
  </si>
  <si>
    <t>10/22/2015</t>
  </si>
  <si>
    <t>10/29/2015</t>
  </si>
  <si>
    <t>11/05/2015</t>
  </si>
  <si>
    <t>11/12/2015</t>
  </si>
  <si>
    <t>11/19/2015</t>
  </si>
  <si>
    <t>11/26/2015</t>
  </si>
  <si>
    <t>12/03/2015</t>
  </si>
  <si>
    <t>12/10/2015</t>
  </si>
  <si>
    <t>12/17/2015</t>
  </si>
  <si>
    <t>12/24/2015</t>
  </si>
  <si>
    <t>12/31/2015</t>
  </si>
  <si>
    <t>1/7/2016</t>
  </si>
  <si>
    <t>1/14/2016</t>
  </si>
  <si>
    <t>1/21/2016</t>
  </si>
  <si>
    <t>1/28/2016</t>
  </si>
  <si>
    <t>2/04/2016</t>
  </si>
  <si>
    <t>2/11/2016</t>
  </si>
  <si>
    <t>2/18/2016</t>
  </si>
  <si>
    <t>2/25/2016</t>
  </si>
  <si>
    <t>3/03/2016</t>
  </si>
  <si>
    <t>3/10/2016</t>
  </si>
  <si>
    <t>3/17/2016</t>
  </si>
  <si>
    <t>3/24/2016</t>
  </si>
  <si>
    <t>3/31/2016</t>
  </si>
  <si>
    <t>4/07/2016</t>
  </si>
  <si>
    <t>4/14/2016</t>
  </si>
  <si>
    <t>4/21/2016</t>
  </si>
  <si>
    <t>4/28/2016</t>
  </si>
  <si>
    <t>5/05/2016</t>
  </si>
  <si>
    <t>5/12/2016</t>
  </si>
  <si>
    <t>5/19/2016</t>
  </si>
  <si>
    <t>5/26/2016</t>
  </si>
  <si>
    <t>6/02/2016</t>
  </si>
  <si>
    <t>6/09/2016</t>
  </si>
  <si>
    <t>6/16/2016</t>
  </si>
  <si>
    <t>6/23/2016</t>
  </si>
  <si>
    <t>6/30/2016</t>
  </si>
  <si>
    <t>7/07/2016</t>
  </si>
  <si>
    <t>7/14/2016</t>
  </si>
  <si>
    <t>7/21/2016</t>
  </si>
  <si>
    <t>7/28/2016</t>
  </si>
  <si>
    <t>8/04/2016</t>
  </si>
  <si>
    <t>8/11/2016</t>
  </si>
  <si>
    <t>8/18/2016</t>
  </si>
  <si>
    <t>8/25/2016</t>
  </si>
  <si>
    <t>9/01/2016</t>
  </si>
  <si>
    <t>9/08/2016</t>
  </si>
  <si>
    <t>9/15/2016</t>
  </si>
  <si>
    <t>9/22/2016</t>
  </si>
  <si>
    <t>9/29/2016</t>
  </si>
  <si>
    <t>10/06/2016</t>
  </si>
  <si>
    <t>10/13/2016</t>
  </si>
  <si>
    <t>10/20/2016</t>
  </si>
  <si>
    <t>10/27/2016</t>
  </si>
  <si>
    <t>11/03/2016</t>
  </si>
  <si>
    <t>11/10/2016</t>
  </si>
  <si>
    <t>11/17/2016</t>
  </si>
  <si>
    <t>11/24/2016</t>
  </si>
  <si>
    <t>12/01/2016</t>
  </si>
  <si>
    <t>12/08/2016</t>
  </si>
  <si>
    <t>12/15/2016</t>
  </si>
  <si>
    <t>12/22/2016</t>
  </si>
  <si>
    <t>12/29/2016</t>
  </si>
  <si>
    <t>01/05/2017</t>
  </si>
  <si>
    <t>01/12/2017</t>
  </si>
  <si>
    <t>01/19/2017</t>
  </si>
  <si>
    <t>01/26/2017</t>
  </si>
  <si>
    <t>02/02/2017</t>
  </si>
  <si>
    <t>02/09/2017</t>
  </si>
  <si>
    <t>02/16/2017</t>
  </si>
  <si>
    <t>02/23/2017</t>
  </si>
  <si>
    <t>03/02/2017</t>
  </si>
  <si>
    <t>03/09/2017</t>
  </si>
  <si>
    <t>03/16/2017</t>
  </si>
  <si>
    <t>03/23/2017</t>
  </si>
  <si>
    <t>03/30/2017</t>
  </si>
  <si>
    <t>04/06/2017</t>
  </si>
  <si>
    <t>04/13/2017</t>
  </si>
  <si>
    <t>04/20/2017</t>
  </si>
  <si>
    <t>04/27/2017</t>
  </si>
  <si>
    <t>05/04/2017</t>
  </si>
  <si>
    <t>05/11/2017</t>
  </si>
  <si>
    <t>05/18/2017</t>
  </si>
  <si>
    <t>05/25/2017</t>
  </si>
  <si>
    <t>06/01/2017</t>
  </si>
  <si>
    <t>06/08/2017</t>
  </si>
  <si>
    <t>06/15/2017</t>
  </si>
  <si>
    <t>06/22/2017</t>
  </si>
  <si>
    <t>06/29/2017</t>
  </si>
  <si>
    <t>07/06/2017</t>
  </si>
  <si>
    <t>07/13/2017</t>
  </si>
  <si>
    <t>07/20/2017</t>
  </si>
  <si>
    <t>07/27/2017</t>
  </si>
  <si>
    <t>08/03/2017</t>
  </si>
  <si>
    <t>08/10/2017</t>
  </si>
  <si>
    <t>08/17/2017</t>
  </si>
  <si>
    <t>08/24/2017</t>
  </si>
  <si>
    <t>08/31/2017</t>
  </si>
  <si>
    <t>09/07/2017</t>
  </si>
  <si>
    <t>09/14/2017</t>
  </si>
  <si>
    <t>09/21/2017</t>
  </si>
  <si>
    <t>09/28/2017</t>
  </si>
  <si>
    <t>10/05/2017</t>
  </si>
  <si>
    <t>10/12/2017</t>
  </si>
  <si>
    <t>10/19/2017</t>
  </si>
  <si>
    <t>10/26/2017</t>
  </si>
  <si>
    <t>11/02/2017</t>
  </si>
  <si>
    <t>11/09/2017</t>
  </si>
  <si>
    <t>11/16/2017</t>
  </si>
  <si>
    <t>11/23/2017</t>
  </si>
  <si>
    <t>11/30/2017</t>
  </si>
  <si>
    <t>12/07/2017</t>
  </si>
  <si>
    <t>12/14/2017</t>
  </si>
  <si>
    <t>12/21/2017</t>
  </si>
  <si>
    <t>12/28/2017</t>
  </si>
  <si>
    <t>01/04/2018</t>
  </si>
  <si>
    <t>01/11/2018</t>
  </si>
  <si>
    <t>01/18/2018</t>
  </si>
  <si>
    <t>01/25/2018</t>
  </si>
  <si>
    <t>02/01/2018</t>
  </si>
  <si>
    <t>02/08/2018</t>
  </si>
  <si>
    <t>02/15/2018</t>
  </si>
  <si>
    <t>02/22/2018</t>
  </si>
  <si>
    <t>03/01/2018</t>
  </si>
  <si>
    <t>03/08/2018</t>
  </si>
  <si>
    <t>03/15/2018</t>
  </si>
  <si>
    <t>03/22/2018</t>
  </si>
  <si>
    <t>03/29/2018</t>
  </si>
  <si>
    <t>04/05/2018</t>
  </si>
  <si>
    <t>04/12/2018</t>
  </si>
  <si>
    <t>04/19/2018</t>
  </si>
  <si>
    <t>04/26/2018</t>
  </si>
  <si>
    <t>05/03/2018</t>
  </si>
  <si>
    <t>05/10/2018</t>
  </si>
  <si>
    <t>05/17/2018</t>
  </si>
  <si>
    <t>05/24/2018</t>
  </si>
  <si>
    <t>05/31/2018</t>
  </si>
  <si>
    <t>06/07/2018</t>
  </si>
  <si>
    <t>06/14/2018</t>
  </si>
  <si>
    <t>06/21/2018</t>
  </si>
  <si>
    <t>06/28/2018</t>
  </si>
  <si>
    <t>07/05/2018</t>
  </si>
  <si>
    <t>07/12/2018</t>
  </si>
  <si>
    <t>07/19/2018</t>
  </si>
  <si>
    <t>07/26/2018</t>
  </si>
  <si>
    <t>08/02/2018</t>
  </si>
  <si>
    <t>08/09/2018</t>
  </si>
  <si>
    <t>08/16/2018</t>
  </si>
  <si>
    <t>08/23/2018</t>
  </si>
  <si>
    <t>08/30/2018</t>
  </si>
  <si>
    <t>09/06/2018</t>
  </si>
  <si>
    <t>09/13/2018</t>
  </si>
  <si>
    <t>09/20/2018</t>
  </si>
  <si>
    <t>09/27/2018</t>
  </si>
  <si>
    <t>10/04/2018</t>
  </si>
  <si>
    <t>10/11/2018</t>
  </si>
  <si>
    <t>10/18/2018</t>
  </si>
  <si>
    <t>10/25/2018</t>
  </si>
  <si>
    <t>11/01/2018</t>
  </si>
  <si>
    <t>11/08/2018</t>
  </si>
  <si>
    <t>11/15/2018</t>
  </si>
  <si>
    <t>11/22/2018</t>
  </si>
  <si>
    <t>11/29/2018</t>
  </si>
  <si>
    <t>12/06/2018</t>
  </si>
  <si>
    <t>12/13/2018</t>
  </si>
  <si>
    <t>12/20/2018</t>
  </si>
  <si>
    <t>12/27/2018</t>
  </si>
  <si>
    <t>01/03/2019</t>
  </si>
  <si>
    <t>01/10/2019</t>
  </si>
  <si>
    <t>01/17/2019</t>
  </si>
  <si>
    <t>01/24/2019</t>
  </si>
  <si>
    <t>01/31/2019</t>
  </si>
  <si>
    <t>02/07/2019</t>
  </si>
  <si>
    <t>02/14/2019</t>
  </si>
  <si>
    <t>02/21/2019</t>
  </si>
  <si>
    <t>02/28/2019</t>
  </si>
  <si>
    <t>03/07/2019</t>
  </si>
  <si>
    <t>03/14/2019</t>
  </si>
  <si>
    <t>03/21/2019</t>
  </si>
  <si>
    <t>03/28/2019</t>
  </si>
  <si>
    <t>04/04/2019</t>
  </si>
  <si>
    <t>04/11/2019</t>
  </si>
  <si>
    <t>04/18/2019</t>
  </si>
  <si>
    <t>04/25/2019</t>
  </si>
  <si>
    <t>05/02/2019</t>
  </si>
  <si>
    <t>05/09/2019</t>
  </si>
  <si>
    <t>05/16/2019</t>
  </si>
  <si>
    <t>05/23/2019</t>
  </si>
  <si>
    <t>05/30/2019</t>
  </si>
  <si>
    <t>06/06/2019</t>
  </si>
  <si>
    <t>06/13/2019</t>
  </si>
  <si>
    <t>06/20/2019</t>
  </si>
  <si>
    <t>06/27/2019</t>
  </si>
  <si>
    <t>07/04/2019</t>
  </si>
  <si>
    <t>07/11/2019</t>
  </si>
  <si>
    <t>07/18/2019</t>
  </si>
  <si>
    <t>07/25/2019</t>
  </si>
  <si>
    <t>08/01/2019</t>
  </si>
  <si>
    <t>08/08/2019</t>
  </si>
  <si>
    <t>08/15/2019</t>
  </si>
  <si>
    <t>08/22/2019</t>
  </si>
  <si>
    <t>08/29/2019</t>
  </si>
  <si>
    <t>09/05/2019</t>
  </si>
  <si>
    <t>09/12/2019</t>
  </si>
  <si>
    <t>09/19/2019</t>
  </si>
  <si>
    <t>09/26/2019</t>
  </si>
  <si>
    <t>10/03/2019</t>
  </si>
  <si>
    <t>10/10/2019</t>
  </si>
  <si>
    <t>10/17/2019</t>
  </si>
  <si>
    <t>10/24/2019</t>
  </si>
  <si>
    <t>10/31/2019</t>
  </si>
  <si>
    <t>11/07/2019</t>
  </si>
  <si>
    <t>11/14/2019</t>
  </si>
  <si>
    <t>11/21/2019</t>
  </si>
  <si>
    <t>11/28/2019</t>
  </si>
  <si>
    <t>12/05/2019</t>
  </si>
  <si>
    <t>01/02/2020</t>
  </si>
  <si>
    <t>01/09/2020</t>
  </si>
  <si>
    <t>01/16/2020</t>
  </si>
  <si>
    <t>01/23/2020</t>
  </si>
  <si>
    <t>01/30/2020</t>
  </si>
  <si>
    <t>02/06/2020</t>
  </si>
  <si>
    <t>02/13/2020</t>
  </si>
  <si>
    <t>02/20/2020</t>
  </si>
  <si>
    <t>02/27/2020</t>
  </si>
  <si>
    <t>03/05/2020</t>
  </si>
  <si>
    <t>03/12/2020</t>
  </si>
  <si>
    <t>03/19/2020</t>
  </si>
  <si>
    <t>03/26/2020</t>
  </si>
  <si>
    <t>04/02/2020</t>
  </si>
  <si>
    <t>04/09/2020</t>
  </si>
  <si>
    <t>04/16/2020</t>
  </si>
  <si>
    <t>04/23/2020</t>
  </si>
  <si>
    <t>04/30/2020</t>
  </si>
  <si>
    <t>05/07/2020</t>
  </si>
  <si>
    <t>05/14/2020</t>
  </si>
  <si>
    <t>05/21/2020</t>
  </si>
  <si>
    <t>05/28/2020</t>
  </si>
  <si>
    <t>06/04/2020</t>
  </si>
  <si>
    <t>06/11/2020</t>
  </si>
  <si>
    <t>06/18/2020</t>
  </si>
  <si>
    <t>06/25/2020</t>
  </si>
  <si>
    <t>07/02/2020</t>
  </si>
  <si>
    <t>07/09/2020</t>
  </si>
  <si>
    <t>07/16/2020</t>
  </si>
  <si>
    <t>07/23/2020</t>
  </si>
  <si>
    <t>07/30/2020</t>
  </si>
  <si>
    <t>08/06/2020</t>
  </si>
  <si>
    <t>08/13/2020</t>
  </si>
  <si>
    <t>08/20/2020</t>
  </si>
  <si>
    <t>08/27/2020</t>
  </si>
  <si>
    <t>09/03/2020</t>
  </si>
  <si>
    <t>09/10/2020</t>
  </si>
  <si>
    <t>09/17/2020</t>
  </si>
  <si>
    <t>09/24/2020</t>
  </si>
  <si>
    <t>10/01/2020</t>
  </si>
  <si>
    <t>10/08/2020</t>
  </si>
  <si>
    <t>10/15/2020</t>
  </si>
  <si>
    <t>10/22/2020</t>
  </si>
  <si>
    <t>10/29/2020</t>
  </si>
  <si>
    <t>11/05/2020</t>
  </si>
  <si>
    <t>11/12/2020</t>
  </si>
  <si>
    <t>11/19/2020</t>
  </si>
  <si>
    <t>11/26/2020</t>
  </si>
  <si>
    <t>12/03/2020</t>
  </si>
  <si>
    <t>12/10/2020</t>
  </si>
  <si>
    <t>12/17/2020</t>
  </si>
  <si>
    <t>12/24/2020</t>
  </si>
  <si>
    <t>12/31/2020</t>
  </si>
  <si>
    <t>01/07/2021</t>
  </si>
  <si>
    <t>01/14/2021</t>
  </si>
  <si>
    <t>01/21/2021</t>
  </si>
  <si>
    <t>01/28/2021</t>
  </si>
  <si>
    <t>02/04/2021</t>
  </si>
  <si>
    <t>02/11/2021</t>
  </si>
  <si>
    <t>02/18/2021</t>
  </si>
  <si>
    <t>02/25/2021</t>
  </si>
  <si>
    <t>03/04/2021</t>
  </si>
  <si>
    <t>03/11/2021</t>
  </si>
  <si>
    <t>03/18/2021</t>
  </si>
  <si>
    <t>03/25/2021</t>
  </si>
  <si>
    <t>04/01/2021</t>
  </si>
  <si>
    <t>04/08/2021</t>
  </si>
  <si>
    <t>04/15/2021</t>
  </si>
  <si>
    <t>04/22/2021</t>
  </si>
  <si>
    <t>04/29/2021</t>
  </si>
  <si>
    <t>05/06/2021</t>
  </si>
  <si>
    <t>05/13/2021</t>
  </si>
  <si>
    <t>05/20/2021</t>
  </si>
  <si>
    <t>05/27/2021</t>
  </si>
  <si>
    <t>06/03/2021</t>
  </si>
  <si>
    <t>06/10/2021</t>
  </si>
  <si>
    <t>06/17/2021</t>
  </si>
  <si>
    <t>06/24/2021</t>
  </si>
  <si>
    <t>07/01/2021</t>
  </si>
  <si>
    <t>07/08/2021</t>
  </si>
  <si>
    <t>07/15/2021</t>
  </si>
  <si>
    <t>07/22/2021</t>
  </si>
  <si>
    <t>07/29/2021</t>
  </si>
  <si>
    <t>08/05/2021</t>
  </si>
  <si>
    <t>08/12/2021</t>
  </si>
  <si>
    <t>08/19/2021</t>
  </si>
  <si>
    <t>08/26/2021</t>
  </si>
  <si>
    <t>9/2/2021*</t>
  </si>
  <si>
    <t>09/02/2021</t>
  </si>
  <si>
    <t>09/09/2021</t>
  </si>
  <si>
    <t>09/16/2021</t>
  </si>
  <si>
    <t>09/23/2021</t>
  </si>
  <si>
    <t>09/30/2021</t>
  </si>
  <si>
    <t>10/07/2021</t>
  </si>
  <si>
    <t>10/14/2021</t>
  </si>
  <si>
    <t>10/21/2021</t>
  </si>
  <si>
    <t>10/28/2021</t>
  </si>
  <si>
    <t>11/04/2021</t>
  </si>
  <si>
    <t>11/11/2021</t>
  </si>
  <si>
    <t>11/18/2021</t>
  </si>
  <si>
    <t>11/25/2021</t>
  </si>
  <si>
    <t>12/02/2021</t>
  </si>
  <si>
    <t>12/09/2021</t>
  </si>
  <si>
    <t>12/16/2021</t>
  </si>
  <si>
    <t>12/23/2021</t>
  </si>
  <si>
    <t>12/30/2021</t>
  </si>
  <si>
    <t>01/06/2022</t>
  </si>
  <si>
    <t>01/13/2022</t>
  </si>
  <si>
    <t>01/20/2022</t>
  </si>
  <si>
    <t>01/27/2022</t>
  </si>
  <si>
    <t>02/03/2022</t>
  </si>
  <si>
    <t>02/10/2022</t>
  </si>
  <si>
    <t>02/17/2022</t>
  </si>
  <si>
    <t>02/24/2022</t>
  </si>
  <si>
    <t>03/03/2022</t>
  </si>
  <si>
    <t>03/10/2022</t>
  </si>
  <si>
    <t>03/17/2022</t>
  </si>
  <si>
    <t>03/24/2022</t>
  </si>
  <si>
    <t>03/31/2022</t>
  </si>
  <si>
    <t>04/07/2022</t>
  </si>
  <si>
    <t>04/14/2022</t>
  </si>
  <si>
    <t>04/21/2022</t>
  </si>
  <si>
    <t>04/28/2022</t>
  </si>
  <si>
    <t>05/05/2022</t>
  </si>
  <si>
    <t>05/12/2022</t>
  </si>
  <si>
    <t>05/19/2022</t>
  </si>
  <si>
    <t>05/26/2022</t>
  </si>
  <si>
    <t>06/02/2022</t>
  </si>
  <si>
    <t>06/09/2022</t>
  </si>
  <si>
    <t>06/16/2022</t>
  </si>
  <si>
    <t>06/23/2022</t>
  </si>
  <si>
    <t>06/30/2022</t>
  </si>
  <si>
    <t>07/07/2022</t>
  </si>
  <si>
    <t>07/14/2022</t>
  </si>
  <si>
    <t>07/21/2022</t>
  </si>
  <si>
    <t>07/28/2022</t>
  </si>
  <si>
    <t>08/04/2022</t>
  </si>
  <si>
    <t>08/11/2022</t>
  </si>
  <si>
    <t>08/18/2022</t>
  </si>
  <si>
    <t>08/25/2022</t>
  </si>
  <si>
    <t>09/01/2022</t>
  </si>
  <si>
    <t>09/08/2022</t>
  </si>
  <si>
    <t>09/15/2022</t>
  </si>
  <si>
    <t>09/22/2022</t>
  </si>
  <si>
    <t>09/29/2022</t>
  </si>
  <si>
    <t>10/06/2022</t>
  </si>
  <si>
    <t>10/13/2022</t>
  </si>
  <si>
    <t>10/20/2022</t>
  </si>
  <si>
    <t>10/27/2022</t>
  </si>
  <si>
    <t>11/03/2022</t>
  </si>
  <si>
    <t>11/10/2022</t>
  </si>
  <si>
    <t>11/17/2022</t>
  </si>
  <si>
    <t>11/24/2022</t>
  </si>
  <si>
    <t>12/01/2022</t>
  </si>
  <si>
    <t>12/08/2022</t>
  </si>
  <si>
    <t>12/15/2022</t>
  </si>
  <si>
    <t>12/22/2022</t>
  </si>
  <si>
    <t>12/29/2022</t>
  </si>
  <si>
    <t>01/05/2023</t>
  </si>
  <si>
    <t>01/12/2023</t>
  </si>
  <si>
    <t>01/19/2023</t>
  </si>
  <si>
    <t>01/26/2023</t>
  </si>
  <si>
    <t>02/02/2023</t>
  </si>
  <si>
    <t>02/09/2023</t>
  </si>
  <si>
    <t>02/16/2023</t>
  </si>
  <si>
    <t>02/23/2023</t>
  </si>
  <si>
    <t>03/02/2023</t>
  </si>
  <si>
    <t>03/09/2023</t>
  </si>
  <si>
    <t>03/16/2023</t>
  </si>
  <si>
    <t>03/23/2023</t>
  </si>
  <si>
    <t>03/30/2023</t>
  </si>
  <si>
    <t>04/06/2023</t>
  </si>
  <si>
    <t>04/13/2023</t>
  </si>
  <si>
    <t>04/20/2023</t>
  </si>
  <si>
    <t>05/04/2023</t>
  </si>
  <si>
    <t>05/11/2023</t>
  </si>
  <si>
    <t>05/18/2023</t>
  </si>
  <si>
    <t>05/25/2023</t>
  </si>
  <si>
    <t>06/01/2023</t>
  </si>
  <si>
    <t>06/08/2023</t>
  </si>
  <si>
    <t>06/15/2023</t>
  </si>
  <si>
    <t>06/22/2023</t>
  </si>
  <si>
    <t>06/29/2023</t>
  </si>
  <si>
    <t>07/06/2023</t>
  </si>
  <si>
    <t>07/13/2023</t>
  </si>
  <si>
    <t>07/20/2023</t>
  </si>
  <si>
    <t>07/27/2023</t>
  </si>
  <si>
    <t>08/03/2023</t>
  </si>
  <si>
    <t>08/10/2023</t>
  </si>
  <si>
    <t>08/17/2023</t>
  </si>
  <si>
    <t>08/24/2023</t>
  </si>
  <si>
    <t>08/31/2023</t>
  </si>
  <si>
    <t>09/07/2023</t>
  </si>
  <si>
    <t>09/14/2023</t>
  </si>
  <si>
    <t>09/21/2023</t>
  </si>
  <si>
    <t>09/28/2023</t>
  </si>
  <si>
    <t>10/05/2023</t>
  </si>
  <si>
    <t>10/12/2023</t>
  </si>
  <si>
    <t>10/19/2023</t>
  </si>
  <si>
    <t>10/26/2023</t>
  </si>
  <si>
    <t>11/02/2023</t>
  </si>
  <si>
    <t>11/09/2023</t>
  </si>
  <si>
    <t>11/16/2023</t>
  </si>
  <si>
    <t>11/23/2023</t>
  </si>
  <si>
    <t>11/30/2023</t>
  </si>
  <si>
    <t>12/07/2023</t>
  </si>
  <si>
    <t>12/14/2023</t>
  </si>
  <si>
    <t>12/21/2023</t>
  </si>
  <si>
    <t>12/28/2023</t>
  </si>
  <si>
    <t>01/04/2024</t>
  </si>
  <si>
    <t>01/11/2024</t>
  </si>
  <si>
    <t>01/18/2024</t>
  </si>
  <si>
    <t>01/25/2024</t>
  </si>
  <si>
    <t>02/01/2024</t>
  </si>
  <si>
    <t>02/08/2024</t>
  </si>
  <si>
    <t>02/15/2024</t>
  </si>
  <si>
    <t>02/22/2024</t>
  </si>
  <si>
    <t>02/29/2024</t>
  </si>
  <si>
    <t>03/07/2024</t>
  </si>
  <si>
    <t>03/14/2024</t>
  </si>
  <si>
    <t>03/21/2024</t>
  </si>
  <si>
    <t>03/28/2024</t>
  </si>
  <si>
    <t>04/04/2024</t>
  </si>
  <si>
    <t>04/11/2024</t>
  </si>
  <si>
    <t>04/18/2024</t>
  </si>
  <si>
    <t>04/25/2024</t>
  </si>
  <si>
    <t>05/02/2024</t>
  </si>
  <si>
    <t>05/09/2024</t>
  </si>
  <si>
    <t>05/16/2024</t>
  </si>
  <si>
    <t>05/23/2024</t>
  </si>
  <si>
    <t>05/30/2024</t>
  </si>
  <si>
    <t>06/06/2024</t>
  </si>
  <si>
    <t>06/13/2024</t>
  </si>
  <si>
    <t>06/20/2024</t>
  </si>
  <si>
    <t>06/27/2024</t>
  </si>
  <si>
    <t>07/04/2024</t>
  </si>
  <si>
    <t>07/11/2024</t>
  </si>
  <si>
    <t>07/18/2024</t>
  </si>
  <si>
    <t>07/25/2024</t>
  </si>
  <si>
    <t>08/01/2024</t>
  </si>
  <si>
    <t>08/08/2024</t>
  </si>
  <si>
    <t>08/15/2024</t>
  </si>
  <si>
    <t>08/22/2024</t>
  </si>
  <si>
    <t>08/29/2024</t>
  </si>
  <si>
    <t>09/05/2024</t>
  </si>
  <si>
    <t>09/12/2024</t>
  </si>
  <si>
    <t>09/19/2024</t>
  </si>
  <si>
    <t>09/26/2024</t>
  </si>
  <si>
    <t>10/03/2024</t>
  </si>
  <si>
    <t>10/17/2024</t>
  </si>
  <si>
    <t>10/24/2024</t>
  </si>
  <si>
    <t>10/31/2024</t>
  </si>
  <si>
    <t>11/07/2024</t>
  </si>
  <si>
    <t>11/14/2024</t>
  </si>
  <si>
    <t>11/21/2024</t>
  </si>
  <si>
    <t>11/28/2024</t>
  </si>
  <si>
    <t>12/05/2024</t>
  </si>
  <si>
    <t>12/12/2024</t>
  </si>
  <si>
    <t>12/19/2024</t>
  </si>
  <si>
    <t>12/26/2024</t>
  </si>
  <si>
    <t>01/02/2025</t>
  </si>
  <si>
    <t>01/09/2025</t>
  </si>
  <si>
    <t>01/16/2025</t>
  </si>
  <si>
    <t>01/23/2025</t>
  </si>
  <si>
    <t>01/30/2025</t>
  </si>
  <si>
    <t>02/06/2025</t>
  </si>
  <si>
    <t>02/13/2025</t>
  </si>
  <si>
    <t>02/20/2025</t>
  </si>
  <si>
    <t>02/27/2025</t>
  </si>
  <si>
    <t>03/06/2025</t>
  </si>
  <si>
    <t>03/13/2025</t>
  </si>
  <si>
    <t>03/20/2025</t>
  </si>
  <si>
    <t>03/27/2025</t>
  </si>
  <si>
    <t>04/03/2025</t>
  </si>
  <si>
    <t>04/10/2025</t>
  </si>
  <si>
    <t>04/17/2025</t>
  </si>
  <si>
    <t>04/24/2025</t>
  </si>
  <si>
    <t>05/01/2025</t>
  </si>
  <si>
    <t>05/08/2025</t>
  </si>
  <si>
    <t>05/15/2025</t>
  </si>
  <si>
    <t>05/22/2025</t>
  </si>
  <si>
    <t>05/29/2025</t>
  </si>
  <si>
    <t>06/05/2025</t>
  </si>
  <si>
    <t>06/12/2025</t>
  </si>
  <si>
    <t>06/19/2025</t>
  </si>
  <si>
    <t>06/26/2025</t>
  </si>
  <si>
    <t>07/03/2025</t>
  </si>
  <si>
    <t>07/10/2025</t>
  </si>
  <si>
    <t>07/17/2025</t>
  </si>
  <si>
    <t>07/24/2025</t>
  </si>
  <si>
    <t>07/31/2025</t>
  </si>
  <si>
    <t>08/07/2025</t>
  </si>
  <si>
    <t>08/14/2025</t>
  </si>
  <si>
    <t>08/21/2025</t>
  </si>
  <si>
    <t>08/28/2025</t>
  </si>
  <si>
    <t>09/04/2025</t>
  </si>
  <si>
    <t>09/11/2025</t>
  </si>
  <si>
    <t>09/18/2025</t>
  </si>
  <si>
    <t>Average 2015</t>
  </si>
  <si>
    <t>Range 2015</t>
  </si>
  <si>
    <t>25..54</t>
  </si>
  <si>
    <t>28..54</t>
  </si>
  <si>
    <t>36..80</t>
  </si>
  <si>
    <t>10 days</t>
  </si>
  <si>
    <t>`</t>
  </si>
  <si>
    <t>% change from last yr.</t>
  </si>
  <si>
    <t>% change 4-year avg.</t>
  </si>
  <si>
    <t>Table 19</t>
  </si>
  <si>
    <t>Weekly port region grain ocean vessel activity (number of vessels)</t>
  </si>
  <si>
    <t>Pacific Northwest</t>
  </si>
  <si>
    <t>Loaded 7-days</t>
  </si>
  <si>
    <t>Due next 10-days</t>
  </si>
  <si>
    <t>Source:  USDA, Agricultural Marketing Service.</t>
  </si>
  <si>
    <t>Alt Text:</t>
  </si>
  <si>
    <t>This figure depicts bar chats representing grain vessel loading activity for the ocean-going vessels in the U.S. Gulf</t>
  </si>
  <si>
    <t>Change from last year</t>
  </si>
  <si>
    <t>Change from 4-year average</t>
  </si>
  <si>
    <t>09/25/2025</t>
  </si>
  <si>
    <t>10/02/2025</t>
  </si>
  <si>
    <t>10/09/2025</t>
  </si>
  <si>
    <t>10/16/2025</t>
  </si>
  <si>
    <t>10/23/2025</t>
  </si>
  <si>
    <t>10/30/2025</t>
  </si>
  <si>
    <t>11/06/2025</t>
  </si>
  <si>
    <t>11/13/2025</t>
  </si>
  <si>
    <t>11/20/2025</t>
  </si>
  <si>
    <t>11/27/2025</t>
  </si>
  <si>
    <t>12/04/2025</t>
  </si>
  <si>
    <t>12/11/2025</t>
  </si>
  <si>
    <t>12/18/2025</t>
  </si>
  <si>
    <t>12/25/2025</t>
  </si>
  <si>
    <t>2025 range</t>
  </si>
  <si>
    <t>2025 average</t>
  </si>
  <si>
    <t>(12…40)</t>
  </si>
  <si>
    <t>(11…37)</t>
  </si>
  <si>
    <t>(26…55)</t>
  </si>
  <si>
    <t>(5…25)</t>
  </si>
  <si>
    <t>01/01/2026</t>
  </si>
  <si>
    <t>01/08/2026</t>
  </si>
  <si>
    <t>01/15/2026</t>
  </si>
  <si>
    <t>01/22/2026</t>
  </si>
  <si>
    <t>01/29/2026</t>
  </si>
  <si>
    <t>02/05/2026</t>
  </si>
  <si>
    <t>02/12/2026</t>
  </si>
  <si>
    <t>02/19/2026</t>
  </si>
  <si>
    <t>02/26/2026</t>
  </si>
  <si>
    <t>03/05/2026</t>
  </si>
  <si>
    <t>03/12/2026</t>
  </si>
  <si>
    <t>03/19/2026</t>
  </si>
  <si>
    <t>04/02/2026</t>
  </si>
  <si>
    <t>04/09/2026</t>
  </si>
  <si>
    <t>04/16/2026</t>
  </si>
  <si>
    <t>04/23/2026</t>
  </si>
  <si>
    <t>04/30/2026</t>
  </si>
  <si>
    <t>05/07/2026</t>
  </si>
  <si>
    <t>05/14/2026</t>
  </si>
  <si>
    <t>05/21/2026</t>
  </si>
  <si>
    <t>05/28/2026</t>
  </si>
  <si>
    <t>06/11/2026</t>
  </si>
  <si>
    <t>06/18/2026</t>
  </si>
  <si>
    <t>06/25/2026</t>
  </si>
  <si>
    <t>07/02/2026</t>
  </si>
  <si>
    <t>07/09/2026</t>
  </si>
  <si>
    <t>07/16/2026</t>
  </si>
  <si>
    <t>07/23/2026</t>
  </si>
  <si>
    <t>07/30/2026</t>
  </si>
  <si>
    <t>08/06/2026</t>
  </si>
  <si>
    <t>08/13/2026</t>
  </si>
  <si>
    <t>08/20/2026</t>
  </si>
  <si>
    <t>08/27/2026</t>
  </si>
  <si>
    <t>09/03/2026</t>
  </si>
  <si>
    <t/>
  </si>
  <si>
    <t>09/10/2026</t>
  </si>
  <si>
    <t>09/17/2026</t>
  </si>
  <si>
    <t>09/24/2026</t>
  </si>
  <si>
    <t>10/01/2026</t>
  </si>
  <si>
    <t>10/08/2026</t>
  </si>
  <si>
    <t>10/15/2026</t>
  </si>
  <si>
    <t>Week ending 10/15/26, number of vessels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</si>
</sst>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;@"/>
    <numFmt numFmtId="165" formatCode="m/d/yyyy;@"/>
    <numFmt numFmtId="166" formatCode="#,##0_____________);\(#,##0\)"/>
    <numFmt numFmtId="167" formatCode="0.0%"/>
    <numFmt numFmtId="168" formatCode="0.0"/>
    <numFmt numFmtId="169" formatCode="mm/dd/yyyy"/>
  </numFmts>
  <fonts count="1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color indexed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11"/>
      <color indexed="8"/>
      <name val="Times New Roman"/>
      <family val="1"/>
    </font>
    <font>
      <b/>
      <sz val="10"/>
      <name val="Arial"/>
      <family val="2"/>
    </font>
    <font>
      <b/>
      <sz val="11"/>
      <color indexed="9"/>
      <name val="Calibri"/>
      <family val="2"/>
    </font>
    <font>
      <sz val="11"/>
      <color indexed="63"/>
      <name val="Calibri"/>
      <family val="2"/>
    </font>
    <font>
      <sz val="11"/>
      <color indexed="63"/>
      <name val="Arial"/>
      <family val="2"/>
    </font>
    <font>
      <sz val="10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rgb="FF5CA1BA"/>
      </top>
      <bottom/>
      <diagonal/>
    </border>
    <border>
      <left style="thin">
        <color indexed="64"/>
      </left>
      <right style="thin">
        <color rgb="FF5CA1BA"/>
      </right>
      <top style="thin">
        <color indexed="64"/>
      </top>
      <bottom style="thin">
        <color rgb="FF5CA1BA"/>
      </bottom>
      <diagonal/>
    </border>
    <border>
      <left style="thin">
        <color rgb="FF5CA1BA"/>
      </left>
      <right style="thin">
        <color rgb="FF5CA1BA"/>
      </right>
      <top style="thin">
        <color indexed="64"/>
      </top>
      <bottom style="thin">
        <color rgb="FF5CA1BA"/>
      </bottom>
      <diagonal/>
    </border>
    <border>
      <left style="thin">
        <color rgb="FF5CA1BA"/>
      </left>
      <right style="thin">
        <color indexed="64"/>
      </right>
      <top style="thin">
        <color indexed="64"/>
      </top>
      <bottom style="thin">
        <color rgb="FF5CA1BA"/>
      </bottom>
      <diagonal/>
    </border>
    <border>
      <left style="thin">
        <color indexed="64"/>
      </left>
      <right/>
      <top style="thin">
        <color rgb="FF5CA1BA"/>
      </top>
      <bottom/>
      <diagonal/>
    </border>
    <border>
      <left/>
      <right style="thin">
        <color indexed="64"/>
      </right>
      <top style="thin">
        <color rgb="FF5CA1BA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5CA1BA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/>
    <xf numFmtId="0" fontId="3" fillId="0" borderId="0" xfId="0" applyFont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164" fontId="12" fillId="0" borderId="0" xfId="0" applyNumberFormat="1" applyFont="1" applyAlignment="1">
      <alignment horizontal="left"/>
    </xf>
    <xf numFmtId="164" fontId="7" fillId="0" borderId="0" xfId="0" applyNumberFormat="1" applyFont="1" applyAlignment="1">
      <alignment horizontal="center"/>
    </xf>
    <xf numFmtId="164" fontId="7" fillId="0" borderId="0" xfId="0" applyNumberFormat="1" applyFont="1"/>
    <xf numFmtId="164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164" fontId="8" fillId="0" borderId="0" xfId="0" quotePrefix="1" applyNumberFormat="1" applyFont="1" applyAlignment="1">
      <alignment horizontal="right"/>
    </xf>
    <xf numFmtId="0" fontId="0" fillId="3" borderId="0" xfId="0" applyFill="1"/>
    <xf numFmtId="164" fontId="8" fillId="0" borderId="0" xfId="0" applyNumberFormat="1" applyFont="1" applyAlignment="1">
      <alignment horizontal="left"/>
    </xf>
    <xf numFmtId="167" fontId="4" fillId="0" borderId="0" xfId="1" applyNumberFormat="1" applyFont="1"/>
    <xf numFmtId="0" fontId="6" fillId="2" borderId="1" xfId="0" applyFont="1" applyFill="1" applyBorder="1"/>
    <xf numFmtId="0" fontId="6" fillId="2" borderId="0" xfId="0" applyFont="1" applyFill="1"/>
    <xf numFmtId="167" fontId="4" fillId="0" borderId="0" xfId="1" applyNumberFormat="1" applyFont="1" applyFill="1"/>
    <xf numFmtId="168" fontId="4" fillId="0" borderId="0" xfId="0" applyNumberFormat="1" applyFont="1"/>
    <xf numFmtId="0" fontId="4" fillId="0" borderId="0" xfId="0" quotePrefix="1" applyFont="1"/>
    <xf numFmtId="165" fontId="8" fillId="0" borderId="0" xfId="0" quotePrefix="1" applyNumberFormat="1" applyFont="1" applyAlignment="1">
      <alignment horizontal="right"/>
    </xf>
    <xf numFmtId="9" fontId="4" fillId="0" borderId="0" xfId="1" applyFont="1"/>
    <xf numFmtId="14" fontId="4" fillId="0" borderId="0" xfId="0" applyNumberFormat="1" applyFont="1"/>
    <xf numFmtId="1" fontId="4" fillId="0" borderId="0" xfId="0" applyNumberFormat="1" applyFont="1"/>
    <xf numFmtId="166" fontId="10" fillId="2" borderId="0" xfId="0" applyNumberFormat="1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166" fontId="10" fillId="2" borderId="2" xfId="0" applyNumberFormat="1" applyFont="1" applyFill="1" applyBorder="1" applyAlignment="1">
      <alignment vertical="center"/>
    </xf>
    <xf numFmtId="165" fontId="10" fillId="2" borderId="0" xfId="0" applyNumberFormat="1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165" fontId="8" fillId="0" borderId="0" xfId="0" applyNumberFormat="1" applyFont="1" applyAlignment="1">
      <alignment horizontal="right"/>
    </xf>
    <xf numFmtId="14" fontId="8" fillId="0" borderId="0" xfId="0" applyNumberFormat="1" applyFont="1" applyAlignment="1">
      <alignment horizontal="right"/>
    </xf>
    <xf numFmtId="164" fontId="12" fillId="0" borderId="0" xfId="0" applyNumberFormat="1" applyFont="1" applyAlignment="1">
      <alignment horizontal="center"/>
    </xf>
    <xf numFmtId="164" fontId="12" fillId="0" borderId="0" xfId="0" applyNumberFormat="1" applyFont="1"/>
    <xf numFmtId="164" fontId="12" fillId="6" borderId="0" xfId="0" applyNumberFormat="1" applyFont="1" applyFill="1" applyAlignment="1">
      <alignment horizontal="left"/>
    </xf>
    <xf numFmtId="0" fontId="5" fillId="6" borderId="0" xfId="0" applyFont="1" applyFill="1" applyAlignment="1">
      <alignment horizontal="center"/>
    </xf>
    <xf numFmtId="167" fontId="5" fillId="0" borderId="0" xfId="1" applyNumberFormat="1" applyFont="1" applyFill="1" applyAlignment="1">
      <alignment horizontal="center"/>
    </xf>
    <xf numFmtId="2" fontId="4" fillId="0" borderId="0" xfId="0" applyNumberFormat="1" applyFont="1"/>
    <xf numFmtId="0" fontId="6" fillId="2" borderId="0" xfId="0" applyFont="1" applyFill="1" applyAlignment="1">
      <alignment horizontal="centerContinuous"/>
    </xf>
    <xf numFmtId="0" fontId="1" fillId="0" borderId="0" xfId="0" applyFont="1"/>
    <xf numFmtId="0" fontId="14" fillId="7" borderId="6" xfId="0" applyFont="1" applyFill="1" applyBorder="1" applyAlignment="1">
      <alignment horizontal="center" vertical="top" wrapText="1"/>
    </xf>
    <xf numFmtId="0" fontId="14" fillId="7" borderId="7" xfId="0" applyFont="1" applyFill="1" applyBorder="1" applyAlignment="1">
      <alignment horizontal="center" vertical="center" wrapText="1"/>
    </xf>
    <xf numFmtId="0" fontId="14" fillId="7" borderId="8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164" fontId="8" fillId="0" borderId="0" xfId="0" quotePrefix="1" applyNumberFormat="1" applyFont="1" applyAlignment="1">
      <alignment horizontal="center" vertical="center"/>
    </xf>
    <xf numFmtId="164" fontId="8" fillId="0" borderId="0" xfId="0" quotePrefix="1" applyNumberFormat="1" applyFont="1" applyAlignment="1">
      <alignment horizontal="center"/>
    </xf>
    <xf numFmtId="9" fontId="16" fillId="0" borderId="5" xfId="0" applyNumberFormat="1" applyFont="1" applyBorder="1" applyAlignment="1">
      <alignment horizontal="left" vertical="center" wrapText="1" indent="1"/>
    </xf>
    <xf numFmtId="9" fontId="16" fillId="0" borderId="10" xfId="0" applyNumberFormat="1" applyFont="1" applyBorder="1" applyAlignment="1">
      <alignment horizontal="center" vertical="center" wrapText="1"/>
    </xf>
    <xf numFmtId="9" fontId="16" fillId="0" borderId="12" xfId="0" applyNumberFormat="1" applyFont="1" applyBorder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/>
    </xf>
    <xf numFmtId="166" fontId="10" fillId="2" borderId="0" xfId="0" applyNumberFormat="1" applyFont="1" applyFill="1" applyAlignment="1">
      <alignment horizontal="right" vertical="center"/>
    </xf>
    <xf numFmtId="0" fontId="17" fillId="0" borderId="0" xfId="0" applyFont="1"/>
    <xf numFmtId="169" fontId="8" fillId="0" borderId="0" xfId="0" applyNumberFormat="1" applyFont="1" applyAlignment="1">
      <alignment horizontal="center" vertical="center"/>
    </xf>
    <xf numFmtId="9" fontId="16" fillId="0" borderId="13" xfId="0" applyNumberFormat="1" applyFont="1" applyBorder="1" applyAlignment="1">
      <alignment horizontal="left" vertical="center" wrapText="1" indent="1"/>
    </xf>
    <xf numFmtId="0" fontId="0" fillId="3" borderId="0" xfId="0" quotePrefix="1" applyFill="1"/>
    <xf numFmtId="0" fontId="5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9" fillId="4" borderId="3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86BACC"/>
      <color rgb="FF0000FF"/>
      <color rgb="FF993300"/>
      <color rgb="FF669900"/>
      <color rgb="FFCCFF33"/>
      <color rgb="FF99CCFF"/>
      <color rgb="FF5CA2BB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852876812407606E-2"/>
          <c:y val="0.13224805678733412"/>
          <c:w val="0.88151459284747569"/>
          <c:h val="0.624630044906057"/>
        </c:manualLayout>
      </c:layout>
      <c:barChart>
        <c:barDir val="col"/>
        <c:grouping val="clustered"/>
        <c:varyColors val="0"/>
        <c:ser>
          <c:idx val="0"/>
          <c:order val="0"/>
          <c:tx>
            <c:v>Loaded last 7 days</c:v>
          </c:tx>
          <c:spPr>
            <a:pattFill prst="narHorz">
              <a:fgClr>
                <a:srgbClr val="993366"/>
              </a:fgClr>
              <a:bgClr>
                <a:schemeClr val="bg1"/>
              </a:bgClr>
            </a:pattFill>
            <a:ln w="6350">
              <a:solidFill>
                <a:schemeClr val="tx1"/>
              </a:solidFill>
            </a:ln>
          </c:spPr>
          <c:invertIfNegative val="0"/>
          <c:cat>
            <c:strRef>
              <c:f>Data!$B$1630:$B$1662</c:f>
              <c:strCache>
                <c:ptCount val="33"/>
                <c:pt idx="0">
                  <c:v>03/05/2026</c:v>
                </c:pt>
                <c:pt idx="1">
                  <c:v>03/12/2026</c:v>
                </c:pt>
                <c:pt idx="2">
                  <c:v>03/19/2026</c:v>
                </c:pt>
                <c:pt idx="3">
                  <c:v>03/19/2026</c:v>
                </c:pt>
                <c:pt idx="4">
                  <c:v>04/02/2026</c:v>
                </c:pt>
                <c:pt idx="5">
                  <c:v>04/09/2026</c:v>
                </c:pt>
                <c:pt idx="6">
                  <c:v>04/16/2026</c:v>
                </c:pt>
                <c:pt idx="7">
                  <c:v>04/23/2026</c:v>
                </c:pt>
                <c:pt idx="8">
                  <c:v>04/30/2026</c:v>
                </c:pt>
                <c:pt idx="9">
                  <c:v>05/07/2026</c:v>
                </c:pt>
                <c:pt idx="10">
                  <c:v>05/14/2026</c:v>
                </c:pt>
                <c:pt idx="11">
                  <c:v>05/21/2026</c:v>
                </c:pt>
                <c:pt idx="12">
                  <c:v>05/28/2026</c:v>
                </c:pt>
                <c:pt idx="13">
                  <c:v>06/04/2026</c:v>
                </c:pt>
                <c:pt idx="14">
                  <c:v>06/11/2026</c:v>
                </c:pt>
                <c:pt idx="15">
                  <c:v>06/18/2026</c:v>
                </c:pt>
                <c:pt idx="16">
                  <c:v>06/25/2026</c:v>
                </c:pt>
                <c:pt idx="17">
                  <c:v>07/02/2026</c:v>
                </c:pt>
                <c:pt idx="18">
                  <c:v>07/09/2026</c:v>
                </c:pt>
                <c:pt idx="19">
                  <c:v>07/16/2026</c:v>
                </c:pt>
                <c:pt idx="20">
                  <c:v>07/23/2026</c:v>
                </c:pt>
                <c:pt idx="21">
                  <c:v>07/30/2026</c:v>
                </c:pt>
                <c:pt idx="22">
                  <c:v>08/06/2026</c:v>
                </c:pt>
                <c:pt idx="23">
                  <c:v>08/13/2026</c:v>
                </c:pt>
                <c:pt idx="24">
                  <c:v>08/20/2026</c:v>
                </c:pt>
                <c:pt idx="25">
                  <c:v>08/27/2026</c:v>
                </c:pt>
                <c:pt idx="26">
                  <c:v>09/03/2026</c:v>
                </c:pt>
                <c:pt idx="27">
                  <c:v>09/10/2026</c:v>
                </c:pt>
                <c:pt idx="28">
                  <c:v>09/17/2026</c:v>
                </c:pt>
                <c:pt idx="29">
                  <c:v>09/24/2026</c:v>
                </c:pt>
                <c:pt idx="30">
                  <c:v>10/01/2026</c:v>
                </c:pt>
                <c:pt idx="31">
                  <c:v>10/08/2026</c:v>
                </c:pt>
                <c:pt idx="32">
                  <c:v>10/15/2026</c:v>
                </c:pt>
              </c:strCache>
            </c:strRef>
          </c:cat>
          <c:val>
            <c:numRef>
              <c:f>Data!$G$1630:$G$1662</c:f>
              <c:numCache>
                <c:formatCode>General</c:formatCode>
                <c:ptCount val="33"/>
                <c:pt idx="0">
                  <c:v>34</c:v>
                </c:pt>
                <c:pt idx="1">
                  <c:v>32</c:v>
                </c:pt>
                <c:pt idx="2">
                  <c:v>40</c:v>
                </c:pt>
                <c:pt idx="3">
                  <c:v>33</c:v>
                </c:pt>
                <c:pt idx="4">
                  <c:v>29</c:v>
                </c:pt>
                <c:pt idx="5">
                  <c:v>30</c:v>
                </c:pt>
                <c:pt idx="6">
                  <c:v>27</c:v>
                </c:pt>
                <c:pt idx="7">
                  <c:v>26</c:v>
                </c:pt>
                <c:pt idx="8">
                  <c:v>29</c:v>
                </c:pt>
                <c:pt idx="9">
                  <c:v>29</c:v>
                </c:pt>
                <c:pt idx="10">
                  <c:v>22</c:v>
                </c:pt>
                <c:pt idx="11">
                  <c:v>25</c:v>
                </c:pt>
                <c:pt idx="12">
                  <c:v>21</c:v>
                </c:pt>
                <c:pt idx="13">
                  <c:v>36</c:v>
                </c:pt>
                <c:pt idx="14">
                  <c:v>28</c:v>
                </c:pt>
                <c:pt idx="15">
                  <c:v>20</c:v>
                </c:pt>
                <c:pt idx="16">
                  <c:v>27</c:v>
                </c:pt>
                <c:pt idx="17">
                  <c:v>32</c:v>
                </c:pt>
                <c:pt idx="18">
                  <c:v>30</c:v>
                </c:pt>
                <c:pt idx="19">
                  <c:v>24</c:v>
                </c:pt>
                <c:pt idx="20">
                  <c:v>25</c:v>
                </c:pt>
                <c:pt idx="21">
                  <c:v>27</c:v>
                </c:pt>
                <c:pt idx="22">
                  <c:v>33</c:v>
                </c:pt>
                <c:pt idx="23">
                  <c:v>29</c:v>
                </c:pt>
                <c:pt idx="24">
                  <c:v>23</c:v>
                </c:pt>
                <c:pt idx="25">
                  <c:v>18</c:v>
                </c:pt>
                <c:pt idx="26">
                  <c:v>20</c:v>
                </c:pt>
                <c:pt idx="27">
                  <c:v>22</c:v>
                </c:pt>
                <c:pt idx="28">
                  <c:v>28</c:v>
                </c:pt>
                <c:pt idx="29">
                  <c:v>29</c:v>
                </c:pt>
                <c:pt idx="30">
                  <c:v>39</c:v>
                </c:pt>
                <c:pt idx="31">
                  <c:v>28</c:v>
                </c:pt>
                <c:pt idx="3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B5-442F-AF95-9F1F55FBD754}"/>
            </c:ext>
          </c:extLst>
        </c:ser>
        <c:ser>
          <c:idx val="2"/>
          <c:order val="2"/>
          <c:tx>
            <c:v>Due next 10 days</c:v>
          </c:tx>
          <c:spPr>
            <a:solidFill>
              <a:srgbClr val="86BACC"/>
            </a:solidFill>
            <a:ln w="6350">
              <a:solidFill>
                <a:schemeClr val="tx1"/>
              </a:solidFill>
            </a:ln>
          </c:spPr>
          <c:invertIfNegative val="0"/>
          <c:cat>
            <c:strRef>
              <c:f>Data!$B$1630:$B$1662</c:f>
              <c:strCache>
                <c:ptCount val="33"/>
                <c:pt idx="0">
                  <c:v>03/05/2026</c:v>
                </c:pt>
                <c:pt idx="1">
                  <c:v>03/12/2026</c:v>
                </c:pt>
                <c:pt idx="2">
                  <c:v>03/19/2026</c:v>
                </c:pt>
                <c:pt idx="3">
                  <c:v>03/19/2026</c:v>
                </c:pt>
                <c:pt idx="4">
                  <c:v>04/02/2026</c:v>
                </c:pt>
                <c:pt idx="5">
                  <c:v>04/09/2026</c:v>
                </c:pt>
                <c:pt idx="6">
                  <c:v>04/16/2026</c:v>
                </c:pt>
                <c:pt idx="7">
                  <c:v>04/23/2026</c:v>
                </c:pt>
                <c:pt idx="8">
                  <c:v>04/30/2026</c:v>
                </c:pt>
                <c:pt idx="9">
                  <c:v>05/07/2026</c:v>
                </c:pt>
                <c:pt idx="10">
                  <c:v>05/14/2026</c:v>
                </c:pt>
                <c:pt idx="11">
                  <c:v>05/21/2026</c:v>
                </c:pt>
                <c:pt idx="12">
                  <c:v>05/28/2026</c:v>
                </c:pt>
                <c:pt idx="13">
                  <c:v>06/04/2026</c:v>
                </c:pt>
                <c:pt idx="14">
                  <c:v>06/11/2026</c:v>
                </c:pt>
                <c:pt idx="15">
                  <c:v>06/18/2026</c:v>
                </c:pt>
                <c:pt idx="16">
                  <c:v>06/25/2026</c:v>
                </c:pt>
                <c:pt idx="17">
                  <c:v>07/02/2026</c:v>
                </c:pt>
                <c:pt idx="18">
                  <c:v>07/09/2026</c:v>
                </c:pt>
                <c:pt idx="19">
                  <c:v>07/16/2026</c:v>
                </c:pt>
                <c:pt idx="20">
                  <c:v>07/23/2026</c:v>
                </c:pt>
                <c:pt idx="21">
                  <c:v>07/30/2026</c:v>
                </c:pt>
                <c:pt idx="22">
                  <c:v>08/06/2026</c:v>
                </c:pt>
                <c:pt idx="23">
                  <c:v>08/13/2026</c:v>
                </c:pt>
                <c:pt idx="24">
                  <c:v>08/20/2026</c:v>
                </c:pt>
                <c:pt idx="25">
                  <c:v>08/27/2026</c:v>
                </c:pt>
                <c:pt idx="26">
                  <c:v>09/03/2026</c:v>
                </c:pt>
                <c:pt idx="27">
                  <c:v>09/10/2026</c:v>
                </c:pt>
                <c:pt idx="28">
                  <c:v>09/17/2026</c:v>
                </c:pt>
                <c:pt idx="29">
                  <c:v>09/24/2026</c:v>
                </c:pt>
                <c:pt idx="30">
                  <c:v>10/01/2026</c:v>
                </c:pt>
                <c:pt idx="31">
                  <c:v>10/08/2026</c:v>
                </c:pt>
                <c:pt idx="32">
                  <c:v>10/15/2026</c:v>
                </c:pt>
              </c:strCache>
            </c:strRef>
          </c:cat>
          <c:val>
            <c:numRef>
              <c:f>Data!$I$1630:$I$1662</c:f>
              <c:numCache>
                <c:formatCode>General</c:formatCode>
                <c:ptCount val="33"/>
                <c:pt idx="0">
                  <c:v>58</c:v>
                </c:pt>
                <c:pt idx="1">
                  <c:v>58</c:v>
                </c:pt>
                <c:pt idx="2">
                  <c:v>36</c:v>
                </c:pt>
                <c:pt idx="3">
                  <c:v>42</c:v>
                </c:pt>
                <c:pt idx="4">
                  <c:v>41</c:v>
                </c:pt>
                <c:pt idx="5">
                  <c:v>33</c:v>
                </c:pt>
                <c:pt idx="6">
                  <c:v>40</c:v>
                </c:pt>
                <c:pt idx="7">
                  <c:v>42</c:v>
                </c:pt>
                <c:pt idx="8">
                  <c:v>40</c:v>
                </c:pt>
                <c:pt idx="9">
                  <c:v>48</c:v>
                </c:pt>
                <c:pt idx="10">
                  <c:v>37</c:v>
                </c:pt>
                <c:pt idx="11">
                  <c:v>38</c:v>
                </c:pt>
                <c:pt idx="12">
                  <c:v>40</c:v>
                </c:pt>
                <c:pt idx="13">
                  <c:v>29</c:v>
                </c:pt>
                <c:pt idx="14">
                  <c:v>26</c:v>
                </c:pt>
                <c:pt idx="15">
                  <c:v>39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41</c:v>
                </c:pt>
                <c:pt idx="21">
                  <c:v>28</c:v>
                </c:pt>
                <c:pt idx="22">
                  <c:v>30</c:v>
                </c:pt>
                <c:pt idx="23">
                  <c:v>31</c:v>
                </c:pt>
                <c:pt idx="24">
                  <c:v>30</c:v>
                </c:pt>
                <c:pt idx="25">
                  <c:v>29</c:v>
                </c:pt>
                <c:pt idx="26">
                  <c:v>32</c:v>
                </c:pt>
                <c:pt idx="27">
                  <c:v>49</c:v>
                </c:pt>
                <c:pt idx="28">
                  <c:v>51</c:v>
                </c:pt>
                <c:pt idx="29">
                  <c:v>47</c:v>
                </c:pt>
                <c:pt idx="30">
                  <c:v>44</c:v>
                </c:pt>
                <c:pt idx="31">
                  <c:v>46</c:v>
                </c:pt>
                <c:pt idx="3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B5-442F-AF95-9F1F55FBD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341757608"/>
        <c:axId val="341756040"/>
      </c:barChart>
      <c:lineChart>
        <c:grouping val="standard"/>
        <c:varyColors val="0"/>
        <c:ser>
          <c:idx val="1"/>
          <c:order val="1"/>
          <c:tx>
            <c:v>Loaded 4-year average</c:v>
          </c:tx>
          <c:spPr>
            <a:ln w="25400">
              <a:solidFill>
                <a:srgbClr val="002060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002060"/>
              </a:solidFill>
              <a:ln>
                <a:solidFill>
                  <a:srgbClr val="002060"/>
                </a:solidFill>
                <a:prstDash val="solid"/>
              </a:ln>
            </c:spPr>
          </c:marker>
          <c:cat>
            <c:strRef>
              <c:f>Data!$B$1630:$B$1662</c:f>
              <c:strCache>
                <c:ptCount val="33"/>
                <c:pt idx="0">
                  <c:v>03/05/2026</c:v>
                </c:pt>
                <c:pt idx="1">
                  <c:v>03/12/2026</c:v>
                </c:pt>
                <c:pt idx="2">
                  <c:v>03/19/2026</c:v>
                </c:pt>
                <c:pt idx="3">
                  <c:v>03/19/2026</c:v>
                </c:pt>
                <c:pt idx="4">
                  <c:v>04/02/2026</c:v>
                </c:pt>
                <c:pt idx="5">
                  <c:v>04/09/2026</c:v>
                </c:pt>
                <c:pt idx="6">
                  <c:v>04/16/2026</c:v>
                </c:pt>
                <c:pt idx="7">
                  <c:v>04/23/2026</c:v>
                </c:pt>
                <c:pt idx="8">
                  <c:v>04/30/2026</c:v>
                </c:pt>
                <c:pt idx="9">
                  <c:v>05/07/2026</c:v>
                </c:pt>
                <c:pt idx="10">
                  <c:v>05/14/2026</c:v>
                </c:pt>
                <c:pt idx="11">
                  <c:v>05/21/2026</c:v>
                </c:pt>
                <c:pt idx="12">
                  <c:v>05/28/2026</c:v>
                </c:pt>
                <c:pt idx="13">
                  <c:v>06/04/2026</c:v>
                </c:pt>
                <c:pt idx="14">
                  <c:v>06/11/2026</c:v>
                </c:pt>
                <c:pt idx="15">
                  <c:v>06/18/2026</c:v>
                </c:pt>
                <c:pt idx="16">
                  <c:v>06/25/2026</c:v>
                </c:pt>
                <c:pt idx="17">
                  <c:v>07/02/2026</c:v>
                </c:pt>
                <c:pt idx="18">
                  <c:v>07/09/2026</c:v>
                </c:pt>
                <c:pt idx="19">
                  <c:v>07/16/2026</c:v>
                </c:pt>
                <c:pt idx="20">
                  <c:v>07/23/2026</c:v>
                </c:pt>
                <c:pt idx="21">
                  <c:v>07/30/2026</c:v>
                </c:pt>
                <c:pt idx="22">
                  <c:v>08/06/2026</c:v>
                </c:pt>
                <c:pt idx="23">
                  <c:v>08/13/2026</c:v>
                </c:pt>
                <c:pt idx="24">
                  <c:v>08/20/2026</c:v>
                </c:pt>
                <c:pt idx="25">
                  <c:v>08/27/2026</c:v>
                </c:pt>
                <c:pt idx="26">
                  <c:v>09/03/2026</c:v>
                </c:pt>
                <c:pt idx="27">
                  <c:v>09/10/2026</c:v>
                </c:pt>
                <c:pt idx="28">
                  <c:v>09/17/2026</c:v>
                </c:pt>
                <c:pt idx="29">
                  <c:v>09/24/2026</c:v>
                </c:pt>
                <c:pt idx="30">
                  <c:v>10/01/2026</c:v>
                </c:pt>
                <c:pt idx="31">
                  <c:v>10/08/2026</c:v>
                </c:pt>
                <c:pt idx="32">
                  <c:v>10/15/2026</c:v>
                </c:pt>
              </c:strCache>
            </c:strRef>
          </c:cat>
          <c:val>
            <c:numRef>
              <c:f>Data!$H$1630:$H$1662</c:f>
              <c:numCache>
                <c:formatCode>General</c:formatCode>
                <c:ptCount val="33"/>
                <c:pt idx="0">
                  <c:v>29</c:v>
                </c:pt>
                <c:pt idx="1">
                  <c:v>31.75</c:v>
                </c:pt>
                <c:pt idx="2">
                  <c:v>31.25</c:v>
                </c:pt>
                <c:pt idx="3">
                  <c:v>31</c:v>
                </c:pt>
                <c:pt idx="4">
                  <c:v>30</c:v>
                </c:pt>
                <c:pt idx="5">
                  <c:v>28</c:v>
                </c:pt>
                <c:pt idx="6">
                  <c:v>31.75</c:v>
                </c:pt>
                <c:pt idx="7">
                  <c:v>29.25</c:v>
                </c:pt>
                <c:pt idx="8">
                  <c:v>26.75</c:v>
                </c:pt>
                <c:pt idx="9">
                  <c:v>25</c:v>
                </c:pt>
                <c:pt idx="10">
                  <c:v>24.75</c:v>
                </c:pt>
                <c:pt idx="11">
                  <c:v>22.75</c:v>
                </c:pt>
                <c:pt idx="12">
                  <c:v>23.5</c:v>
                </c:pt>
                <c:pt idx="13">
                  <c:v>26.5</c:v>
                </c:pt>
                <c:pt idx="14">
                  <c:v>25.75</c:v>
                </c:pt>
                <c:pt idx="15">
                  <c:v>20.75</c:v>
                </c:pt>
                <c:pt idx="16">
                  <c:v>20.25</c:v>
                </c:pt>
                <c:pt idx="17">
                  <c:v>20.75</c:v>
                </c:pt>
                <c:pt idx="18">
                  <c:v>22.25</c:v>
                </c:pt>
                <c:pt idx="19">
                  <c:v>22</c:v>
                </c:pt>
                <c:pt idx="20">
                  <c:v>23.25</c:v>
                </c:pt>
                <c:pt idx="21">
                  <c:v>28</c:v>
                </c:pt>
                <c:pt idx="22">
                  <c:v>22.5</c:v>
                </c:pt>
                <c:pt idx="23">
                  <c:v>19</c:v>
                </c:pt>
                <c:pt idx="24">
                  <c:v>22.5</c:v>
                </c:pt>
                <c:pt idx="25">
                  <c:v>26</c:v>
                </c:pt>
                <c:pt idx="26">
                  <c:v>23.25</c:v>
                </c:pt>
                <c:pt idx="27">
                  <c:v>24.25</c:v>
                </c:pt>
                <c:pt idx="28">
                  <c:v>27.25</c:v>
                </c:pt>
                <c:pt idx="29">
                  <c:v>27.75</c:v>
                </c:pt>
                <c:pt idx="30">
                  <c:v>29.5</c:v>
                </c:pt>
                <c:pt idx="31">
                  <c:v>27.25</c:v>
                </c:pt>
                <c:pt idx="32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B5-442F-AF95-9F1F55FBD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757608"/>
        <c:axId val="341756040"/>
      </c:lineChart>
      <c:dateAx>
        <c:axId val="341757608"/>
        <c:scaling>
          <c:orientation val="minMax"/>
        </c:scaling>
        <c:delete val="0"/>
        <c:axPos val="b"/>
        <c:numFmt formatCode="m/d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 anchor="ctr" anchorCtr="1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341756040"/>
        <c:crosses val="autoZero"/>
        <c:auto val="0"/>
        <c:lblOffset val="100"/>
        <c:baseTimeUnit val="days"/>
        <c:minorUnit val="1"/>
      </c:dateAx>
      <c:valAx>
        <c:axId val="341756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+mn-lt"/>
                    <a:ea typeface="Times New Roman"/>
                    <a:cs typeface="Times New Roman"/>
                  </a:defRPr>
                </a:pPr>
                <a:r>
                  <a:rPr lang="en-US" sz="1400" b="1">
                    <a:latin typeface="+mn-lt"/>
                  </a:rPr>
                  <a:t>Number of vessels</a:t>
                </a:r>
              </a:p>
            </c:rich>
          </c:tx>
          <c:layout>
            <c:manualLayout>
              <c:xMode val="edge"/>
              <c:yMode val="edge"/>
              <c:x val="2.0262631380192759E-2"/>
              <c:y val="0.253210581194122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341757608"/>
        <c:crosses val="autoZero"/>
        <c:crossBetween val="between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9.757957168779248E-2"/>
          <c:y val="2.2932820428564947E-2"/>
          <c:w val="0.88115129899854128"/>
          <c:h val="9.3734339921423993E-2"/>
        </c:manualLayout>
      </c:layout>
      <c:overlay val="0"/>
      <c:spPr>
        <a:solidFill>
          <a:schemeClr val="bg1">
            <a:lumMod val="95000"/>
          </a:schemeClr>
        </a:solidFill>
        <a:ln w="12700">
          <a:solidFill>
            <a:schemeClr val="tx1"/>
          </a:solidFill>
        </a:ln>
      </c:spPr>
      <c:txPr>
        <a:bodyPr/>
        <a:lstStyle/>
        <a:p>
          <a:pPr rtl="0">
            <a:defRPr sz="1200" b="0" i="0" u="none" strike="noStrike" baseline="0">
              <a:solidFill>
                <a:srgbClr val="000000"/>
              </a:solidFill>
              <a:latin typeface="+mn-lt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321" r="0.75000000000001321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0</xdr:row>
      <xdr:rowOff>114300</xdr:rowOff>
    </xdr:from>
    <xdr:to>
      <xdr:col>12</xdr:col>
      <xdr:colOff>504825</xdr:colOff>
      <xdr:row>24</xdr:row>
      <xdr:rowOff>129539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D48FF4-FCA3-49CB-8417-45989D8C82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1833"/>
  <sheetViews>
    <sheetView zoomScale="130" zoomScaleNormal="130" workbookViewId="0">
      <pane ySplit="3" topLeftCell="A1654" activePane="bottomLeft" state="frozen"/>
      <selection pane="bottomLeft" activeCell="N1674" sqref="N1674"/>
    </sheetView>
  </sheetViews>
  <sheetFormatPr defaultColWidth="9.140625" defaultRowHeight="15" x14ac:dyDescent="0.25"/>
  <cols>
    <col min="1" max="1" width="11.42578125" style="12" bestFit="1" customWidth="1"/>
    <col min="2" max="4" width="11.42578125" style="12" customWidth="1"/>
    <col min="5" max="5" width="9.42578125" style="1" bestFit="1" customWidth="1"/>
    <col min="6" max="6" width="9.140625" style="1"/>
    <col min="7" max="7" width="11.140625" style="1" bestFit="1" customWidth="1"/>
    <col min="8" max="8" width="9.140625" style="1"/>
    <col min="9" max="9" width="9.42578125" style="1" bestFit="1" customWidth="1"/>
    <col min="10" max="16384" width="9.140625" style="1"/>
  </cols>
  <sheetData>
    <row r="1" spans="1:21" s="4" customFormat="1" ht="14.25" x14ac:dyDescent="0.2">
      <c r="A1" s="9"/>
      <c r="B1" s="9"/>
      <c r="C1" s="37"/>
      <c r="D1" s="37" t="s">
        <v>0</v>
      </c>
      <c r="E1" s="38"/>
      <c r="F1" s="38" t="s">
        <v>1</v>
      </c>
      <c r="G1" s="38"/>
      <c r="H1" s="38" t="s">
        <v>2</v>
      </c>
      <c r="I1" s="38"/>
      <c r="J1" s="38" t="s">
        <v>3</v>
      </c>
      <c r="K1" s="59" t="s">
        <v>4</v>
      </c>
      <c r="L1" s="59"/>
      <c r="M1" s="60"/>
      <c r="N1" s="60"/>
      <c r="O1" s="60"/>
      <c r="P1" s="3" t="s">
        <v>5</v>
      </c>
      <c r="Q1" s="3"/>
      <c r="R1" s="3"/>
      <c r="S1" s="3"/>
      <c r="T1" s="3" t="s">
        <v>6</v>
      </c>
      <c r="U1" s="3"/>
    </row>
    <row r="2" spans="1:21" s="4" customFormat="1" x14ac:dyDescent="0.25">
      <c r="A2" s="10"/>
      <c r="B2" s="10"/>
      <c r="C2" s="35" t="s">
        <v>7</v>
      </c>
      <c r="D2" s="35" t="s">
        <v>8</v>
      </c>
      <c r="E2" s="3" t="s">
        <v>9</v>
      </c>
      <c r="F2" s="3" t="s">
        <v>10</v>
      </c>
      <c r="G2" s="3" t="s">
        <v>2</v>
      </c>
      <c r="H2" s="4" t="s">
        <v>11</v>
      </c>
      <c r="I2" s="3" t="s">
        <v>3</v>
      </c>
      <c r="J2" s="3" t="s">
        <v>12</v>
      </c>
      <c r="K2" s="3"/>
      <c r="L2" s="3" t="s">
        <v>8</v>
      </c>
      <c r="M2" s="3" t="s">
        <v>9</v>
      </c>
      <c r="N2" s="3" t="s">
        <v>2</v>
      </c>
      <c r="O2" s="3" t="s">
        <v>3</v>
      </c>
      <c r="P2" s="3" t="s">
        <v>9</v>
      </c>
      <c r="Q2" s="3" t="s">
        <v>2</v>
      </c>
      <c r="R2" s="3" t="s">
        <v>3</v>
      </c>
      <c r="S2" s="3"/>
      <c r="T2" s="3" t="s">
        <v>9</v>
      </c>
      <c r="U2" s="3" t="s">
        <v>2</v>
      </c>
    </row>
    <row r="3" spans="1:21" s="4" customFormat="1" x14ac:dyDescent="0.25">
      <c r="A3" s="11" t="s">
        <v>13</v>
      </c>
      <c r="B3" s="11"/>
      <c r="C3" s="11"/>
      <c r="D3" s="36" t="s">
        <v>14</v>
      </c>
      <c r="E3" s="3"/>
      <c r="F3" s="3" t="s">
        <v>15</v>
      </c>
      <c r="G3" s="3" t="s">
        <v>16</v>
      </c>
      <c r="H3" s="3" t="s">
        <v>17</v>
      </c>
      <c r="I3" s="3" t="s">
        <v>12</v>
      </c>
      <c r="J3" s="3" t="s">
        <v>18</v>
      </c>
      <c r="K3" s="3" t="s">
        <v>7</v>
      </c>
      <c r="L3" s="3" t="s">
        <v>14</v>
      </c>
      <c r="M3" s="3"/>
      <c r="N3" s="3" t="s">
        <v>16</v>
      </c>
      <c r="O3" s="3" t="s">
        <v>12</v>
      </c>
      <c r="P3" s="3"/>
      <c r="Q3" s="3" t="s">
        <v>16</v>
      </c>
      <c r="R3" s="3" t="s">
        <v>12</v>
      </c>
      <c r="S3" s="3" t="s">
        <v>19</v>
      </c>
      <c r="T3" s="3"/>
      <c r="U3" s="3"/>
    </row>
    <row r="4" spans="1:21" x14ac:dyDescent="0.25">
      <c r="A4" s="11">
        <v>34703</v>
      </c>
      <c r="B4" s="14" t="s">
        <v>20</v>
      </c>
      <c r="C4" s="14"/>
      <c r="D4" s="14"/>
      <c r="E4" s="1">
        <v>39</v>
      </c>
      <c r="G4" s="1">
        <v>58</v>
      </c>
      <c r="I4" s="1">
        <v>62</v>
      </c>
      <c r="S4" s="1">
        <v>1</v>
      </c>
    </row>
    <row r="5" spans="1:21" x14ac:dyDescent="0.25">
      <c r="A5" s="11">
        <v>34710</v>
      </c>
      <c r="B5" s="14" t="s">
        <v>21</v>
      </c>
      <c r="C5" s="14"/>
      <c r="D5" s="14"/>
      <c r="E5" s="1">
        <v>36</v>
      </c>
      <c r="G5" s="1">
        <v>64</v>
      </c>
      <c r="I5" s="1">
        <v>72</v>
      </c>
      <c r="S5" s="1">
        <v>2</v>
      </c>
    </row>
    <row r="6" spans="1:21" x14ac:dyDescent="0.25">
      <c r="A6" s="11">
        <v>34717</v>
      </c>
      <c r="B6" s="14" t="s">
        <v>22</v>
      </c>
      <c r="C6" s="14"/>
      <c r="D6" s="14"/>
      <c r="E6" s="1">
        <v>40</v>
      </c>
      <c r="G6" s="1">
        <v>60</v>
      </c>
      <c r="I6" s="1">
        <v>73</v>
      </c>
      <c r="S6" s="1">
        <v>3</v>
      </c>
    </row>
    <row r="7" spans="1:21" x14ac:dyDescent="0.25">
      <c r="A7" s="11">
        <v>34724</v>
      </c>
      <c r="B7" s="14" t="s">
        <v>23</v>
      </c>
      <c r="C7" s="14"/>
      <c r="D7" s="14"/>
      <c r="E7" s="1">
        <v>41</v>
      </c>
      <c r="G7" s="1">
        <v>59</v>
      </c>
      <c r="I7" s="1">
        <v>63</v>
      </c>
      <c r="S7" s="1">
        <v>4</v>
      </c>
    </row>
    <row r="8" spans="1:21" x14ac:dyDescent="0.25">
      <c r="A8" s="11">
        <v>34731</v>
      </c>
      <c r="B8" s="14" t="s">
        <v>24</v>
      </c>
      <c r="C8" s="14"/>
      <c r="D8" s="14"/>
      <c r="E8" s="1">
        <v>36</v>
      </c>
      <c r="G8" s="1">
        <v>62</v>
      </c>
      <c r="I8" s="1">
        <v>79</v>
      </c>
      <c r="S8" s="1">
        <v>5</v>
      </c>
    </row>
    <row r="9" spans="1:21" x14ac:dyDescent="0.25">
      <c r="A9" s="11">
        <v>34738</v>
      </c>
      <c r="B9" s="14" t="s">
        <v>25</v>
      </c>
      <c r="C9" s="14"/>
      <c r="D9" s="14"/>
      <c r="E9" s="1">
        <v>42</v>
      </c>
      <c r="G9" s="1">
        <v>59</v>
      </c>
      <c r="I9" s="1">
        <v>78</v>
      </c>
      <c r="S9" s="1">
        <v>6</v>
      </c>
    </row>
    <row r="10" spans="1:21" x14ac:dyDescent="0.25">
      <c r="A10" s="11">
        <v>34745</v>
      </c>
      <c r="B10" s="14" t="s">
        <v>26</v>
      </c>
      <c r="C10" s="14"/>
      <c r="D10" s="14"/>
      <c r="E10" s="1">
        <v>42</v>
      </c>
      <c r="G10" s="1" t="s">
        <v>27</v>
      </c>
      <c r="I10" s="1" t="s">
        <v>27</v>
      </c>
      <c r="S10" s="1">
        <v>7</v>
      </c>
    </row>
    <row r="11" spans="1:21" x14ac:dyDescent="0.25">
      <c r="A11" s="11">
        <v>34752</v>
      </c>
      <c r="B11" s="14" t="s">
        <v>28</v>
      </c>
      <c r="C11" s="14"/>
      <c r="D11" s="14"/>
      <c r="E11" s="1">
        <v>32</v>
      </c>
      <c r="G11" s="1">
        <v>58</v>
      </c>
      <c r="I11" s="1">
        <v>73</v>
      </c>
      <c r="S11" s="1">
        <v>8</v>
      </c>
    </row>
    <row r="12" spans="1:21" x14ac:dyDescent="0.25">
      <c r="A12" s="11">
        <v>34759</v>
      </c>
      <c r="B12" s="14" t="s">
        <v>29</v>
      </c>
      <c r="C12" s="14"/>
      <c r="D12" s="14"/>
      <c r="E12" s="1">
        <v>38</v>
      </c>
      <c r="G12" s="1">
        <v>56</v>
      </c>
      <c r="I12" s="1">
        <v>72</v>
      </c>
      <c r="S12" s="1">
        <v>9</v>
      </c>
    </row>
    <row r="13" spans="1:21" x14ac:dyDescent="0.25">
      <c r="A13" s="11">
        <v>34766</v>
      </c>
      <c r="B13" s="14" t="s">
        <v>30</v>
      </c>
      <c r="C13" s="14"/>
      <c r="D13" s="14"/>
      <c r="E13" s="1">
        <v>35</v>
      </c>
      <c r="G13" s="1">
        <v>58</v>
      </c>
      <c r="I13" s="1">
        <v>77</v>
      </c>
      <c r="S13" s="1">
        <v>10</v>
      </c>
    </row>
    <row r="14" spans="1:21" x14ac:dyDescent="0.25">
      <c r="A14" s="11">
        <v>34773</v>
      </c>
      <c r="B14" s="14" t="s">
        <v>31</v>
      </c>
      <c r="C14" s="14"/>
      <c r="D14" s="14"/>
      <c r="E14" s="1">
        <v>32</v>
      </c>
      <c r="G14" s="1">
        <v>50</v>
      </c>
      <c r="I14" s="1">
        <v>77</v>
      </c>
      <c r="S14" s="1">
        <v>11</v>
      </c>
    </row>
    <row r="15" spans="1:21" x14ac:dyDescent="0.25">
      <c r="A15" s="11">
        <v>34780</v>
      </c>
      <c r="B15" s="14" t="s">
        <v>32</v>
      </c>
      <c r="C15" s="14"/>
      <c r="D15" s="14"/>
      <c r="E15" s="1">
        <v>31</v>
      </c>
      <c r="G15" s="1">
        <v>50</v>
      </c>
      <c r="I15" s="1">
        <v>83</v>
      </c>
      <c r="S15" s="1">
        <v>12</v>
      </c>
    </row>
    <row r="16" spans="1:21" x14ac:dyDescent="0.25">
      <c r="A16" s="11">
        <v>34787</v>
      </c>
      <c r="B16" s="14" t="s">
        <v>33</v>
      </c>
      <c r="C16" s="14"/>
      <c r="D16" s="14"/>
      <c r="E16" s="1">
        <v>32</v>
      </c>
      <c r="G16" s="1">
        <v>44</v>
      </c>
      <c r="I16" s="1">
        <v>90</v>
      </c>
      <c r="S16" s="1">
        <v>13</v>
      </c>
    </row>
    <row r="17" spans="1:19" x14ac:dyDescent="0.25">
      <c r="A17" s="11">
        <v>34794</v>
      </c>
      <c r="B17" s="14" t="s">
        <v>34</v>
      </c>
      <c r="C17" s="14"/>
      <c r="D17" s="14"/>
      <c r="E17" s="1">
        <v>29</v>
      </c>
      <c r="G17" s="1">
        <v>47</v>
      </c>
      <c r="I17" s="1">
        <v>77</v>
      </c>
      <c r="S17" s="1">
        <v>14</v>
      </c>
    </row>
    <row r="18" spans="1:19" x14ac:dyDescent="0.25">
      <c r="A18" s="11">
        <v>34801</v>
      </c>
      <c r="B18" s="14" t="s">
        <v>35</v>
      </c>
      <c r="C18" s="14"/>
      <c r="D18" s="14"/>
      <c r="E18" s="1">
        <v>29</v>
      </c>
      <c r="G18" s="1" t="s">
        <v>27</v>
      </c>
      <c r="I18" s="1" t="s">
        <v>27</v>
      </c>
      <c r="S18" s="1">
        <v>15</v>
      </c>
    </row>
    <row r="19" spans="1:19" x14ac:dyDescent="0.25">
      <c r="A19" s="11">
        <v>34808</v>
      </c>
      <c r="B19" s="14" t="s">
        <v>36</v>
      </c>
      <c r="C19" s="14"/>
      <c r="D19" s="14"/>
      <c r="E19" s="1">
        <v>27</v>
      </c>
      <c r="G19" s="1">
        <v>47</v>
      </c>
      <c r="I19" s="1">
        <v>69</v>
      </c>
      <c r="S19" s="1">
        <v>16</v>
      </c>
    </row>
    <row r="20" spans="1:19" x14ac:dyDescent="0.25">
      <c r="A20" s="11">
        <v>34815</v>
      </c>
      <c r="B20" s="14" t="s">
        <v>37</v>
      </c>
      <c r="C20" s="14"/>
      <c r="D20" s="14"/>
      <c r="E20" s="1">
        <v>19</v>
      </c>
      <c r="G20" s="1">
        <v>37</v>
      </c>
      <c r="I20" s="1">
        <v>48</v>
      </c>
      <c r="S20" s="1">
        <v>17</v>
      </c>
    </row>
    <row r="21" spans="1:19" x14ac:dyDescent="0.25">
      <c r="A21" s="11">
        <v>34822</v>
      </c>
      <c r="B21" s="14" t="s">
        <v>38</v>
      </c>
      <c r="C21" s="14"/>
      <c r="D21" s="14"/>
      <c r="E21" s="1">
        <v>24</v>
      </c>
      <c r="G21" s="1">
        <v>48</v>
      </c>
      <c r="I21" s="1">
        <v>48</v>
      </c>
      <c r="S21" s="1">
        <v>18</v>
      </c>
    </row>
    <row r="22" spans="1:19" x14ac:dyDescent="0.25">
      <c r="A22" s="11">
        <v>34829</v>
      </c>
      <c r="B22" s="14" t="s">
        <v>39</v>
      </c>
      <c r="C22" s="14"/>
      <c r="D22" s="14"/>
      <c r="E22" s="1">
        <v>24</v>
      </c>
      <c r="G22" s="1" t="s">
        <v>27</v>
      </c>
      <c r="I22" s="1" t="s">
        <v>27</v>
      </c>
      <c r="S22" s="1">
        <v>19</v>
      </c>
    </row>
    <row r="23" spans="1:19" x14ac:dyDescent="0.25">
      <c r="A23" s="11">
        <v>34836</v>
      </c>
      <c r="B23" s="14" t="s">
        <v>40</v>
      </c>
      <c r="C23" s="14"/>
      <c r="D23" s="14"/>
      <c r="E23" s="1">
        <v>26</v>
      </c>
      <c r="G23" s="1">
        <v>43</v>
      </c>
      <c r="I23" s="1">
        <v>59</v>
      </c>
      <c r="S23" s="1">
        <v>20</v>
      </c>
    </row>
    <row r="24" spans="1:19" x14ac:dyDescent="0.25">
      <c r="A24" s="11">
        <v>34843</v>
      </c>
      <c r="B24" s="14" t="s">
        <v>41</v>
      </c>
      <c r="C24" s="14"/>
      <c r="D24" s="14"/>
      <c r="E24" s="1">
        <v>23</v>
      </c>
      <c r="G24" s="1">
        <v>53</v>
      </c>
      <c r="I24" s="1">
        <v>49</v>
      </c>
      <c r="S24" s="1">
        <v>21</v>
      </c>
    </row>
    <row r="25" spans="1:19" x14ac:dyDescent="0.25">
      <c r="A25" s="11">
        <v>34850</v>
      </c>
      <c r="B25" s="14" t="s">
        <v>42</v>
      </c>
      <c r="C25" s="14"/>
      <c r="D25" s="14"/>
      <c r="E25" s="1">
        <v>30</v>
      </c>
      <c r="G25" s="1">
        <v>45</v>
      </c>
      <c r="I25" s="1">
        <v>42</v>
      </c>
      <c r="S25" s="1">
        <v>22</v>
      </c>
    </row>
    <row r="26" spans="1:19" x14ac:dyDescent="0.25">
      <c r="A26" s="11">
        <v>34857</v>
      </c>
      <c r="B26" s="14" t="s">
        <v>43</v>
      </c>
      <c r="C26" s="14"/>
      <c r="D26" s="14"/>
      <c r="E26" s="1">
        <v>26</v>
      </c>
      <c r="G26" s="1">
        <v>37</v>
      </c>
      <c r="I26" s="1">
        <v>37</v>
      </c>
      <c r="S26" s="1">
        <v>23</v>
      </c>
    </row>
    <row r="27" spans="1:19" x14ac:dyDescent="0.25">
      <c r="A27" s="11">
        <v>34864</v>
      </c>
      <c r="B27" s="14" t="s">
        <v>44</v>
      </c>
      <c r="C27" s="14"/>
      <c r="D27" s="14"/>
      <c r="E27" s="1">
        <v>28</v>
      </c>
      <c r="G27" s="1">
        <v>22</v>
      </c>
      <c r="I27" s="1">
        <v>31</v>
      </c>
      <c r="S27" s="1">
        <v>24</v>
      </c>
    </row>
    <row r="28" spans="1:19" x14ac:dyDescent="0.25">
      <c r="A28" s="11">
        <v>34871</v>
      </c>
      <c r="B28" s="14" t="s">
        <v>45</v>
      </c>
      <c r="C28" s="14"/>
      <c r="D28" s="14"/>
      <c r="E28" s="1">
        <v>27</v>
      </c>
      <c r="G28" s="1">
        <v>30</v>
      </c>
      <c r="I28" s="1">
        <v>38</v>
      </c>
      <c r="S28" s="1">
        <v>25</v>
      </c>
    </row>
    <row r="29" spans="1:19" x14ac:dyDescent="0.25">
      <c r="A29" s="11">
        <v>34878</v>
      </c>
      <c r="B29" s="14" t="s">
        <v>46</v>
      </c>
      <c r="C29" s="14"/>
      <c r="D29" s="14"/>
      <c r="E29" s="1">
        <v>26</v>
      </c>
      <c r="G29" s="1">
        <v>41</v>
      </c>
      <c r="I29" s="1">
        <v>52</v>
      </c>
      <c r="S29" s="1">
        <v>26</v>
      </c>
    </row>
    <row r="30" spans="1:19" x14ac:dyDescent="0.25">
      <c r="A30" s="11">
        <v>34885</v>
      </c>
      <c r="B30" s="14" t="s">
        <v>47</v>
      </c>
      <c r="C30" s="14"/>
      <c r="D30" s="14"/>
      <c r="E30" s="1">
        <v>24</v>
      </c>
      <c r="G30" s="1">
        <v>40</v>
      </c>
      <c r="I30" s="1">
        <v>50</v>
      </c>
      <c r="S30" s="1">
        <v>27</v>
      </c>
    </row>
    <row r="31" spans="1:19" x14ac:dyDescent="0.25">
      <c r="A31" s="11">
        <v>34892</v>
      </c>
      <c r="B31" s="14" t="s">
        <v>48</v>
      </c>
      <c r="C31" s="14"/>
      <c r="D31" s="14"/>
      <c r="E31" s="1">
        <v>17</v>
      </c>
      <c r="G31" s="1">
        <v>38</v>
      </c>
      <c r="I31" s="1">
        <v>56</v>
      </c>
      <c r="S31" s="1">
        <v>28</v>
      </c>
    </row>
    <row r="32" spans="1:19" x14ac:dyDescent="0.25">
      <c r="A32" s="11">
        <v>34899</v>
      </c>
      <c r="B32" s="14" t="s">
        <v>49</v>
      </c>
      <c r="C32" s="14"/>
      <c r="D32" s="14"/>
      <c r="E32" s="1">
        <v>23</v>
      </c>
      <c r="G32" s="1">
        <v>44</v>
      </c>
      <c r="I32" s="1">
        <v>60</v>
      </c>
      <c r="S32" s="1">
        <v>29</v>
      </c>
    </row>
    <row r="33" spans="1:19" x14ac:dyDescent="0.25">
      <c r="A33" s="11">
        <v>34906</v>
      </c>
      <c r="B33" s="14" t="s">
        <v>50</v>
      </c>
      <c r="C33" s="14"/>
      <c r="D33" s="14"/>
      <c r="E33" s="1">
        <v>24</v>
      </c>
      <c r="G33" s="1">
        <v>40</v>
      </c>
      <c r="I33" s="1">
        <v>67</v>
      </c>
      <c r="S33" s="1">
        <v>30</v>
      </c>
    </row>
    <row r="34" spans="1:19" x14ac:dyDescent="0.25">
      <c r="A34" s="11">
        <v>34913</v>
      </c>
      <c r="B34" s="14" t="s">
        <v>51</v>
      </c>
      <c r="C34" s="14"/>
      <c r="D34" s="14"/>
      <c r="E34" s="1">
        <v>25</v>
      </c>
      <c r="G34" s="1">
        <v>48</v>
      </c>
      <c r="I34" s="1">
        <v>70</v>
      </c>
      <c r="S34" s="1">
        <v>31</v>
      </c>
    </row>
    <row r="35" spans="1:19" x14ac:dyDescent="0.25">
      <c r="A35" s="11">
        <v>34920</v>
      </c>
      <c r="B35" s="14" t="s">
        <v>52</v>
      </c>
      <c r="C35" s="14"/>
      <c r="D35" s="14"/>
      <c r="E35" s="1">
        <v>29</v>
      </c>
      <c r="G35" s="1">
        <v>47</v>
      </c>
      <c r="I35" s="1">
        <v>49</v>
      </c>
      <c r="S35" s="1">
        <v>32</v>
      </c>
    </row>
    <row r="36" spans="1:19" x14ac:dyDescent="0.25">
      <c r="A36" s="11">
        <v>34927</v>
      </c>
      <c r="B36" s="14" t="s">
        <v>53</v>
      </c>
      <c r="C36" s="14"/>
      <c r="D36" s="14"/>
      <c r="E36" s="1">
        <v>29</v>
      </c>
      <c r="G36" s="1">
        <v>44</v>
      </c>
      <c r="I36" s="1">
        <v>57</v>
      </c>
      <c r="S36" s="1">
        <v>33</v>
      </c>
    </row>
    <row r="37" spans="1:19" x14ac:dyDescent="0.25">
      <c r="A37" s="11">
        <v>34934</v>
      </c>
      <c r="B37" s="14" t="s">
        <v>54</v>
      </c>
      <c r="C37" s="14"/>
      <c r="D37" s="14"/>
      <c r="E37" s="1">
        <v>26</v>
      </c>
      <c r="G37" s="1">
        <v>49</v>
      </c>
      <c r="I37" s="1">
        <v>61</v>
      </c>
      <c r="S37" s="1">
        <v>34</v>
      </c>
    </row>
    <row r="38" spans="1:19" x14ac:dyDescent="0.25">
      <c r="A38" s="11">
        <v>34941</v>
      </c>
      <c r="B38" s="14" t="s">
        <v>55</v>
      </c>
      <c r="C38" s="14"/>
      <c r="D38" s="14"/>
      <c r="E38" s="1">
        <v>27</v>
      </c>
      <c r="G38" s="1">
        <v>51</v>
      </c>
      <c r="I38" s="1">
        <v>62</v>
      </c>
      <c r="S38" s="1">
        <v>35</v>
      </c>
    </row>
    <row r="39" spans="1:19" x14ac:dyDescent="0.25">
      <c r="A39" s="11">
        <v>34948</v>
      </c>
      <c r="B39" s="14" t="s">
        <v>56</v>
      </c>
      <c r="C39" s="14"/>
      <c r="D39" s="14"/>
      <c r="E39" s="1">
        <v>21</v>
      </c>
      <c r="G39" s="1">
        <v>47</v>
      </c>
      <c r="I39" s="1">
        <v>61</v>
      </c>
      <c r="S39" s="1">
        <v>36</v>
      </c>
    </row>
    <row r="40" spans="1:19" x14ac:dyDescent="0.25">
      <c r="A40" s="11">
        <v>34955</v>
      </c>
      <c r="B40" s="14" t="s">
        <v>57</v>
      </c>
      <c r="C40" s="14"/>
      <c r="D40" s="14"/>
      <c r="E40" s="1">
        <v>29</v>
      </c>
      <c r="G40" s="1">
        <v>55</v>
      </c>
      <c r="I40" s="1">
        <v>76</v>
      </c>
      <c r="S40" s="1">
        <v>37</v>
      </c>
    </row>
    <row r="41" spans="1:19" x14ac:dyDescent="0.25">
      <c r="A41" s="11">
        <v>34962</v>
      </c>
      <c r="B41" s="14" t="s">
        <v>58</v>
      </c>
      <c r="C41" s="14"/>
      <c r="D41" s="14"/>
      <c r="E41" s="1">
        <v>38</v>
      </c>
      <c r="G41" s="1">
        <v>50</v>
      </c>
      <c r="I41" s="1">
        <v>77</v>
      </c>
      <c r="S41" s="1">
        <v>38</v>
      </c>
    </row>
    <row r="42" spans="1:19" x14ac:dyDescent="0.25">
      <c r="A42" s="11">
        <v>34969</v>
      </c>
      <c r="B42" s="14" t="s">
        <v>59</v>
      </c>
      <c r="C42" s="14"/>
      <c r="D42" s="14"/>
      <c r="E42" s="1">
        <v>40</v>
      </c>
      <c r="G42" s="1">
        <v>57</v>
      </c>
      <c r="I42" s="1">
        <v>79</v>
      </c>
      <c r="S42" s="1">
        <v>39</v>
      </c>
    </row>
    <row r="43" spans="1:19" x14ac:dyDescent="0.25">
      <c r="A43" s="11">
        <v>34976</v>
      </c>
      <c r="B43" s="14" t="s">
        <v>60</v>
      </c>
      <c r="C43" s="14"/>
      <c r="D43" s="14"/>
      <c r="E43" s="1">
        <v>33</v>
      </c>
      <c r="G43" s="1">
        <v>48</v>
      </c>
      <c r="I43" s="1">
        <v>61</v>
      </c>
      <c r="S43" s="1">
        <v>40</v>
      </c>
    </row>
    <row r="44" spans="1:19" x14ac:dyDescent="0.25">
      <c r="A44" s="11">
        <v>34983</v>
      </c>
      <c r="B44" s="14" t="s">
        <v>61</v>
      </c>
      <c r="C44" s="14"/>
      <c r="D44" s="14"/>
      <c r="E44" s="1">
        <v>36</v>
      </c>
      <c r="G44" s="1">
        <v>51</v>
      </c>
      <c r="I44" s="1">
        <v>67</v>
      </c>
      <c r="S44" s="1">
        <v>41</v>
      </c>
    </row>
    <row r="45" spans="1:19" x14ac:dyDescent="0.25">
      <c r="A45" s="11">
        <v>34991</v>
      </c>
      <c r="B45" s="14" t="s">
        <v>62</v>
      </c>
      <c r="C45" s="14"/>
      <c r="D45" s="14"/>
      <c r="E45" s="1">
        <v>38</v>
      </c>
      <c r="G45" s="1">
        <v>54</v>
      </c>
      <c r="I45" s="1">
        <v>58</v>
      </c>
      <c r="S45" s="1">
        <v>42</v>
      </c>
    </row>
    <row r="46" spans="1:19" x14ac:dyDescent="0.25">
      <c r="A46" s="11">
        <v>34997</v>
      </c>
      <c r="B46" s="14" t="s">
        <v>63</v>
      </c>
      <c r="C46" s="14"/>
      <c r="D46" s="14"/>
      <c r="E46" s="1">
        <v>34</v>
      </c>
      <c r="G46" s="1">
        <v>56</v>
      </c>
      <c r="I46" s="1">
        <v>71</v>
      </c>
      <c r="S46" s="1">
        <v>43</v>
      </c>
    </row>
    <row r="47" spans="1:19" x14ac:dyDescent="0.25">
      <c r="A47" s="11">
        <v>35004</v>
      </c>
      <c r="B47" s="14" t="s">
        <v>64</v>
      </c>
      <c r="C47" s="14"/>
      <c r="D47" s="14"/>
      <c r="E47" s="1">
        <v>41</v>
      </c>
      <c r="G47" s="1">
        <v>44</v>
      </c>
      <c r="I47" s="1">
        <v>67</v>
      </c>
      <c r="S47" s="1">
        <v>44</v>
      </c>
    </row>
    <row r="48" spans="1:19" x14ac:dyDescent="0.25">
      <c r="A48" s="11">
        <v>35011</v>
      </c>
      <c r="B48" s="14" t="s">
        <v>65</v>
      </c>
      <c r="C48" s="14"/>
      <c r="D48" s="14"/>
      <c r="E48" s="1">
        <v>46</v>
      </c>
      <c r="G48" s="1">
        <v>53</v>
      </c>
      <c r="I48" s="1">
        <v>68</v>
      </c>
      <c r="S48" s="1">
        <v>45</v>
      </c>
    </row>
    <row r="49" spans="1:21" x14ac:dyDescent="0.25">
      <c r="A49" s="11">
        <v>35018</v>
      </c>
      <c r="B49" s="14" t="s">
        <v>66</v>
      </c>
      <c r="C49" s="14"/>
      <c r="D49" s="14"/>
      <c r="E49" s="1">
        <v>37</v>
      </c>
      <c r="G49" s="1">
        <v>42</v>
      </c>
      <c r="I49" s="1">
        <v>72</v>
      </c>
      <c r="S49" s="1">
        <v>46</v>
      </c>
    </row>
    <row r="50" spans="1:21" x14ac:dyDescent="0.25">
      <c r="A50" s="11">
        <v>35025</v>
      </c>
      <c r="B50" s="14" t="s">
        <v>67</v>
      </c>
      <c r="C50" s="14"/>
      <c r="D50" s="14"/>
      <c r="E50" s="1">
        <v>33</v>
      </c>
      <c r="G50" s="1">
        <v>43</v>
      </c>
      <c r="I50" s="1">
        <v>53</v>
      </c>
      <c r="S50" s="1">
        <v>47</v>
      </c>
    </row>
    <row r="51" spans="1:21" x14ac:dyDescent="0.25">
      <c r="A51" s="11">
        <v>35032</v>
      </c>
      <c r="B51" s="14" t="s">
        <v>68</v>
      </c>
      <c r="C51" s="14"/>
      <c r="D51" s="14"/>
      <c r="E51" s="1">
        <v>30</v>
      </c>
      <c r="G51" s="1">
        <v>51</v>
      </c>
      <c r="I51" s="1">
        <v>75</v>
      </c>
      <c r="S51" s="1">
        <v>48</v>
      </c>
    </row>
    <row r="52" spans="1:21" x14ac:dyDescent="0.25">
      <c r="A52" s="11">
        <v>35039</v>
      </c>
      <c r="B52" s="14" t="s">
        <v>69</v>
      </c>
      <c r="C52" s="14"/>
      <c r="D52" s="14"/>
      <c r="E52" s="1">
        <v>27</v>
      </c>
      <c r="G52" s="1">
        <v>48</v>
      </c>
      <c r="I52" s="1">
        <v>66</v>
      </c>
      <c r="S52" s="1">
        <v>49</v>
      </c>
    </row>
    <row r="53" spans="1:21" x14ac:dyDescent="0.25">
      <c r="A53" s="11">
        <v>35046</v>
      </c>
      <c r="B53" s="14" t="s">
        <v>70</v>
      </c>
      <c r="C53" s="14"/>
      <c r="D53" s="14"/>
      <c r="E53" s="1">
        <v>36</v>
      </c>
      <c r="G53" s="1">
        <v>49</v>
      </c>
      <c r="I53" s="1">
        <v>72</v>
      </c>
      <c r="S53" s="1">
        <v>50</v>
      </c>
    </row>
    <row r="54" spans="1:21" x14ac:dyDescent="0.25">
      <c r="A54" s="11">
        <v>35053</v>
      </c>
      <c r="B54" s="14" t="s">
        <v>71</v>
      </c>
      <c r="C54" s="14"/>
      <c r="D54" s="14"/>
      <c r="E54" s="1">
        <v>39</v>
      </c>
      <c r="G54" s="1">
        <v>39</v>
      </c>
      <c r="I54" s="1">
        <v>71</v>
      </c>
      <c r="S54" s="1">
        <v>51</v>
      </c>
    </row>
    <row r="55" spans="1:21" x14ac:dyDescent="0.25">
      <c r="A55" s="11">
        <v>35060</v>
      </c>
      <c r="B55" s="14" t="s">
        <v>72</v>
      </c>
      <c r="C55" s="14"/>
      <c r="D55" s="14"/>
      <c r="E55" s="1">
        <v>32</v>
      </c>
      <c r="G55" s="1">
        <v>49</v>
      </c>
      <c r="I55" s="1">
        <v>66</v>
      </c>
      <c r="S55" s="1">
        <v>52</v>
      </c>
      <c r="T55" s="1">
        <v>31.358490566037698</v>
      </c>
      <c r="U55" s="1">
        <v>45.933333333333302</v>
      </c>
    </row>
    <row r="56" spans="1:21" x14ac:dyDescent="0.25">
      <c r="A56" s="11">
        <v>35067</v>
      </c>
      <c r="B56" s="14" t="s">
        <v>73</v>
      </c>
      <c r="C56" s="14"/>
      <c r="D56" s="14"/>
      <c r="E56" s="1">
        <v>34</v>
      </c>
      <c r="G56" s="1">
        <v>40</v>
      </c>
      <c r="I56" s="1">
        <v>83</v>
      </c>
      <c r="S56" s="1">
        <v>1</v>
      </c>
    </row>
    <row r="57" spans="1:21" x14ac:dyDescent="0.25">
      <c r="A57" s="11">
        <v>35075</v>
      </c>
      <c r="B57" s="14" t="s">
        <v>74</v>
      </c>
      <c r="C57" s="14"/>
      <c r="D57" s="14"/>
      <c r="E57" s="1">
        <v>37</v>
      </c>
      <c r="G57" s="1">
        <v>56</v>
      </c>
      <c r="I57" s="1">
        <v>75</v>
      </c>
      <c r="S57" s="1">
        <v>2</v>
      </c>
    </row>
    <row r="58" spans="1:21" x14ac:dyDescent="0.25">
      <c r="A58" s="11">
        <v>35081</v>
      </c>
      <c r="B58" s="14" t="s">
        <v>75</v>
      </c>
      <c r="C58" s="14"/>
      <c r="D58" s="14"/>
      <c r="E58" s="1">
        <v>38</v>
      </c>
      <c r="G58" s="1">
        <v>52</v>
      </c>
      <c r="I58" s="1">
        <v>81</v>
      </c>
      <c r="S58" s="1">
        <v>3</v>
      </c>
    </row>
    <row r="59" spans="1:21" x14ac:dyDescent="0.25">
      <c r="A59" s="11">
        <v>35088</v>
      </c>
      <c r="B59" s="14" t="s">
        <v>76</v>
      </c>
      <c r="C59" s="14"/>
      <c r="D59" s="14"/>
      <c r="E59" s="1">
        <v>30</v>
      </c>
      <c r="G59" s="1">
        <v>55</v>
      </c>
      <c r="I59" s="1">
        <v>88</v>
      </c>
      <c r="S59" s="1">
        <v>4</v>
      </c>
    </row>
    <row r="60" spans="1:21" x14ac:dyDescent="0.25">
      <c r="A60" s="11">
        <v>35095</v>
      </c>
      <c r="B60" s="14" t="s">
        <v>77</v>
      </c>
      <c r="C60" s="14"/>
      <c r="D60" s="14"/>
      <c r="E60" s="1">
        <v>35</v>
      </c>
      <c r="G60" s="1">
        <v>48</v>
      </c>
      <c r="I60" s="1">
        <v>82</v>
      </c>
      <c r="S60" s="1">
        <v>5</v>
      </c>
    </row>
    <row r="61" spans="1:21" x14ac:dyDescent="0.25">
      <c r="A61" s="11">
        <v>35102</v>
      </c>
      <c r="B61" s="14" t="s">
        <v>78</v>
      </c>
      <c r="C61" s="14"/>
      <c r="D61" s="14"/>
      <c r="E61" s="1">
        <v>49</v>
      </c>
      <c r="G61" s="1">
        <v>50</v>
      </c>
      <c r="I61" s="1">
        <v>76</v>
      </c>
      <c r="S61" s="1">
        <v>6</v>
      </c>
    </row>
    <row r="62" spans="1:21" x14ac:dyDescent="0.25">
      <c r="A62" s="11">
        <v>35109</v>
      </c>
      <c r="B62" s="14" t="s">
        <v>79</v>
      </c>
      <c r="C62" s="14"/>
      <c r="D62" s="14"/>
      <c r="E62" s="1">
        <v>57</v>
      </c>
      <c r="G62" s="1">
        <v>47</v>
      </c>
      <c r="I62" s="1">
        <v>70</v>
      </c>
      <c r="S62" s="1">
        <v>7</v>
      </c>
    </row>
    <row r="63" spans="1:21" x14ac:dyDescent="0.25">
      <c r="A63" s="11">
        <v>35117</v>
      </c>
      <c r="B63" s="14" t="s">
        <v>80</v>
      </c>
      <c r="C63" s="14"/>
      <c r="D63" s="14"/>
      <c r="E63" s="1">
        <v>49</v>
      </c>
      <c r="G63" s="1">
        <v>58</v>
      </c>
      <c r="I63" s="1">
        <v>70</v>
      </c>
      <c r="S63" s="1">
        <v>8</v>
      </c>
    </row>
    <row r="64" spans="1:21" x14ac:dyDescent="0.25">
      <c r="A64" s="11">
        <v>35123</v>
      </c>
      <c r="B64" s="14" t="s">
        <v>81</v>
      </c>
      <c r="C64" s="14"/>
      <c r="D64" s="14"/>
      <c r="E64" s="1">
        <v>48</v>
      </c>
      <c r="G64" s="1">
        <v>56</v>
      </c>
      <c r="I64" s="1">
        <v>71</v>
      </c>
      <c r="S64" s="1">
        <v>9</v>
      </c>
    </row>
    <row r="65" spans="1:19" x14ac:dyDescent="0.25">
      <c r="A65" s="11">
        <v>35130</v>
      </c>
      <c r="B65" s="14" t="s">
        <v>82</v>
      </c>
      <c r="C65" s="14"/>
      <c r="D65" s="14"/>
      <c r="E65" s="1">
        <v>52</v>
      </c>
      <c r="G65" s="1">
        <v>61</v>
      </c>
      <c r="I65" s="1">
        <v>68</v>
      </c>
      <c r="S65" s="1">
        <v>10</v>
      </c>
    </row>
    <row r="66" spans="1:19" x14ac:dyDescent="0.25">
      <c r="A66" s="11">
        <v>35138</v>
      </c>
      <c r="B66" s="14" t="s">
        <v>83</v>
      </c>
      <c r="C66" s="14"/>
      <c r="D66" s="14"/>
      <c r="E66" s="1">
        <v>32</v>
      </c>
      <c r="G66" s="1">
        <v>58</v>
      </c>
      <c r="I66" s="1">
        <v>59</v>
      </c>
      <c r="S66" s="1">
        <v>11</v>
      </c>
    </row>
    <row r="67" spans="1:19" x14ac:dyDescent="0.25">
      <c r="A67" s="11">
        <v>35144</v>
      </c>
      <c r="B67" s="14" t="s">
        <v>84</v>
      </c>
      <c r="C67" s="14"/>
      <c r="D67" s="14"/>
      <c r="E67" s="1">
        <v>32</v>
      </c>
      <c r="G67" s="1">
        <v>47</v>
      </c>
      <c r="I67" s="1">
        <v>64</v>
      </c>
      <c r="S67" s="1">
        <v>12</v>
      </c>
    </row>
    <row r="68" spans="1:19" x14ac:dyDescent="0.25">
      <c r="A68" s="11">
        <v>35151</v>
      </c>
      <c r="B68" s="14" t="s">
        <v>85</v>
      </c>
      <c r="C68" s="14"/>
      <c r="D68" s="14"/>
      <c r="E68" s="1">
        <v>32</v>
      </c>
      <c r="G68" s="1">
        <v>46</v>
      </c>
      <c r="I68" s="1">
        <v>68</v>
      </c>
      <c r="S68" s="1">
        <v>13</v>
      </c>
    </row>
    <row r="69" spans="1:19" x14ac:dyDescent="0.25">
      <c r="A69" s="11">
        <v>35158</v>
      </c>
      <c r="B69" s="14" t="s">
        <v>86</v>
      </c>
      <c r="C69" s="14"/>
      <c r="D69" s="14"/>
      <c r="E69" s="1">
        <v>29</v>
      </c>
      <c r="G69" s="1">
        <v>42</v>
      </c>
      <c r="I69" s="1">
        <v>66</v>
      </c>
      <c r="S69" s="1">
        <v>14</v>
      </c>
    </row>
    <row r="70" spans="1:19" x14ac:dyDescent="0.25">
      <c r="A70" s="11">
        <v>35165</v>
      </c>
      <c r="B70" s="14" t="s">
        <v>87</v>
      </c>
      <c r="C70" s="14"/>
      <c r="D70" s="14"/>
      <c r="E70" s="1">
        <v>39</v>
      </c>
      <c r="G70" s="1">
        <v>42</v>
      </c>
      <c r="I70" s="1">
        <v>58</v>
      </c>
      <c r="S70" s="1">
        <v>15</v>
      </c>
    </row>
    <row r="71" spans="1:19" x14ac:dyDescent="0.25">
      <c r="A71" s="11">
        <v>35172</v>
      </c>
      <c r="B71" s="14" t="s">
        <v>88</v>
      </c>
      <c r="C71" s="14"/>
      <c r="D71" s="14"/>
      <c r="E71" s="1">
        <v>25</v>
      </c>
      <c r="G71" s="1">
        <v>45</v>
      </c>
      <c r="I71" s="1">
        <v>53</v>
      </c>
      <c r="S71" s="1">
        <v>16</v>
      </c>
    </row>
    <row r="72" spans="1:19" x14ac:dyDescent="0.25">
      <c r="A72" s="11">
        <v>35179</v>
      </c>
      <c r="B72" s="14" t="s">
        <v>89</v>
      </c>
      <c r="C72" s="14"/>
      <c r="D72" s="14"/>
      <c r="E72" s="1">
        <v>27</v>
      </c>
      <c r="G72" s="1">
        <v>38</v>
      </c>
      <c r="I72" s="1">
        <v>50</v>
      </c>
      <c r="S72" s="1">
        <v>17</v>
      </c>
    </row>
    <row r="73" spans="1:19" x14ac:dyDescent="0.25">
      <c r="A73" s="11">
        <v>35186</v>
      </c>
      <c r="B73" s="14" t="s">
        <v>90</v>
      </c>
      <c r="C73" s="14"/>
      <c r="D73" s="14"/>
      <c r="E73" s="1">
        <v>20</v>
      </c>
      <c r="G73" s="1">
        <v>51</v>
      </c>
      <c r="I73" s="1">
        <v>56</v>
      </c>
      <c r="S73" s="1">
        <v>18</v>
      </c>
    </row>
    <row r="74" spans="1:19" x14ac:dyDescent="0.25">
      <c r="A74" s="11">
        <v>35193</v>
      </c>
      <c r="B74" s="14" t="s">
        <v>91</v>
      </c>
      <c r="C74" s="14"/>
      <c r="D74" s="14"/>
      <c r="E74" s="1">
        <v>11</v>
      </c>
      <c r="G74" s="1">
        <v>55</v>
      </c>
      <c r="I74" s="1">
        <v>65</v>
      </c>
      <c r="S74" s="1">
        <v>19</v>
      </c>
    </row>
    <row r="75" spans="1:19" x14ac:dyDescent="0.25">
      <c r="A75" s="11">
        <v>35200</v>
      </c>
      <c r="B75" s="14" t="s">
        <v>92</v>
      </c>
      <c r="C75" s="14"/>
      <c r="D75" s="14"/>
      <c r="E75" s="1">
        <v>29</v>
      </c>
      <c r="G75" s="1">
        <v>40</v>
      </c>
      <c r="I75" s="1">
        <v>56</v>
      </c>
      <c r="S75" s="1">
        <v>20</v>
      </c>
    </row>
    <row r="76" spans="1:19" x14ac:dyDescent="0.25">
      <c r="A76" s="11">
        <v>35207</v>
      </c>
      <c r="B76" s="14" t="s">
        <v>93</v>
      </c>
      <c r="C76" s="14"/>
      <c r="D76" s="14"/>
      <c r="E76" s="1">
        <v>26</v>
      </c>
      <c r="G76" s="1">
        <v>43</v>
      </c>
      <c r="I76" s="1">
        <v>38</v>
      </c>
      <c r="S76" s="1">
        <v>21</v>
      </c>
    </row>
    <row r="77" spans="1:19" x14ac:dyDescent="0.25">
      <c r="A77" s="11">
        <v>35214</v>
      </c>
      <c r="B77" s="14" t="s">
        <v>94</v>
      </c>
      <c r="C77" s="14"/>
      <c r="D77" s="14"/>
      <c r="E77" s="1">
        <v>24</v>
      </c>
      <c r="G77" s="1">
        <v>39</v>
      </c>
      <c r="I77" s="1">
        <v>42</v>
      </c>
      <c r="S77" s="1">
        <v>22</v>
      </c>
    </row>
    <row r="78" spans="1:19" x14ac:dyDescent="0.25">
      <c r="A78" s="11">
        <v>35221</v>
      </c>
      <c r="B78" s="14" t="s">
        <v>95</v>
      </c>
      <c r="C78" s="14"/>
      <c r="D78" s="14"/>
      <c r="E78" s="1">
        <v>23</v>
      </c>
      <c r="G78" s="1">
        <v>27</v>
      </c>
      <c r="I78" s="1">
        <v>46</v>
      </c>
      <c r="S78" s="1">
        <v>23</v>
      </c>
    </row>
    <row r="79" spans="1:19" x14ac:dyDescent="0.25">
      <c r="A79" s="11">
        <v>35228</v>
      </c>
      <c r="B79" s="14" t="s">
        <v>96</v>
      </c>
      <c r="C79" s="14"/>
      <c r="D79" s="14"/>
      <c r="E79" s="1">
        <v>28</v>
      </c>
      <c r="G79" s="1">
        <v>43</v>
      </c>
      <c r="I79" s="1">
        <v>58</v>
      </c>
      <c r="S79" s="1">
        <v>24</v>
      </c>
    </row>
    <row r="80" spans="1:19" x14ac:dyDescent="0.25">
      <c r="A80" s="11">
        <v>35235</v>
      </c>
      <c r="B80" s="14" t="s">
        <v>97</v>
      </c>
      <c r="C80" s="14"/>
      <c r="D80" s="14"/>
      <c r="E80" s="1">
        <v>31</v>
      </c>
      <c r="G80" s="1">
        <v>38</v>
      </c>
      <c r="I80" s="1">
        <v>60</v>
      </c>
      <c r="S80" s="1">
        <v>25</v>
      </c>
    </row>
    <row r="81" spans="1:19" x14ac:dyDescent="0.25">
      <c r="A81" s="11">
        <v>35242</v>
      </c>
      <c r="B81" s="14" t="s">
        <v>98</v>
      </c>
      <c r="C81" s="14"/>
      <c r="D81" s="14"/>
      <c r="E81" s="1">
        <v>40</v>
      </c>
      <c r="G81" s="1">
        <v>37</v>
      </c>
      <c r="I81" s="1">
        <v>55</v>
      </c>
      <c r="S81" s="1">
        <v>26</v>
      </c>
    </row>
    <row r="82" spans="1:19" x14ac:dyDescent="0.25">
      <c r="A82" s="11">
        <v>35249</v>
      </c>
      <c r="B82" s="14" t="s">
        <v>99</v>
      </c>
      <c r="C82" s="14"/>
      <c r="D82" s="14"/>
      <c r="E82" s="1">
        <v>36</v>
      </c>
      <c r="G82" s="1">
        <v>50</v>
      </c>
      <c r="I82" s="1">
        <v>69</v>
      </c>
      <c r="S82" s="1">
        <v>27</v>
      </c>
    </row>
    <row r="83" spans="1:19" x14ac:dyDescent="0.25">
      <c r="A83" s="11">
        <v>35256</v>
      </c>
      <c r="B83" s="14" t="s">
        <v>100</v>
      </c>
      <c r="C83" s="14"/>
      <c r="D83" s="14"/>
      <c r="E83" s="1">
        <v>36</v>
      </c>
      <c r="G83" s="1">
        <v>44</v>
      </c>
      <c r="I83" s="1">
        <v>67</v>
      </c>
      <c r="S83" s="1">
        <v>28</v>
      </c>
    </row>
    <row r="84" spans="1:19" x14ac:dyDescent="0.25">
      <c r="A84" s="11">
        <v>35263</v>
      </c>
      <c r="B84" s="14" t="s">
        <v>101</v>
      </c>
      <c r="C84" s="14"/>
      <c r="D84" s="14"/>
      <c r="E84" s="1">
        <v>26</v>
      </c>
      <c r="G84" s="1">
        <v>46</v>
      </c>
      <c r="I84" s="1">
        <v>84</v>
      </c>
      <c r="S84" s="1">
        <v>29</v>
      </c>
    </row>
    <row r="85" spans="1:19" x14ac:dyDescent="0.25">
      <c r="A85" s="11">
        <v>35270</v>
      </c>
      <c r="B85" s="14" t="s">
        <v>102</v>
      </c>
      <c r="C85" s="14"/>
      <c r="D85" s="14"/>
      <c r="E85" s="1">
        <v>46</v>
      </c>
      <c r="G85" s="1">
        <v>50</v>
      </c>
      <c r="I85" s="1">
        <v>65</v>
      </c>
      <c r="S85" s="1">
        <v>30</v>
      </c>
    </row>
    <row r="86" spans="1:19" x14ac:dyDescent="0.25">
      <c r="A86" s="11">
        <v>35277</v>
      </c>
      <c r="B86" s="14" t="s">
        <v>103</v>
      </c>
      <c r="C86" s="14"/>
      <c r="D86" s="14"/>
      <c r="E86" s="1">
        <v>38</v>
      </c>
      <c r="G86" s="1">
        <v>55</v>
      </c>
      <c r="I86" s="1">
        <v>67</v>
      </c>
      <c r="S86" s="1">
        <v>31</v>
      </c>
    </row>
    <row r="87" spans="1:19" x14ac:dyDescent="0.25">
      <c r="A87" s="11">
        <v>35284</v>
      </c>
      <c r="B87" s="14" t="s">
        <v>104</v>
      </c>
      <c r="C87" s="14"/>
      <c r="D87" s="14"/>
      <c r="E87" s="1">
        <v>44</v>
      </c>
      <c r="G87" s="1">
        <v>51</v>
      </c>
      <c r="I87" s="1">
        <v>42</v>
      </c>
      <c r="S87" s="1">
        <v>32</v>
      </c>
    </row>
    <row r="88" spans="1:19" x14ac:dyDescent="0.25">
      <c r="A88" s="11">
        <v>35291</v>
      </c>
      <c r="B88" s="14" t="s">
        <v>105</v>
      </c>
      <c r="C88" s="14"/>
      <c r="D88" s="14"/>
      <c r="E88" s="1">
        <v>36</v>
      </c>
      <c r="G88" s="1">
        <v>46</v>
      </c>
      <c r="I88" s="1">
        <v>44</v>
      </c>
      <c r="S88" s="1">
        <v>33</v>
      </c>
    </row>
    <row r="89" spans="1:19" x14ac:dyDescent="0.25">
      <c r="A89" s="11">
        <v>35298</v>
      </c>
      <c r="B89" s="14" t="s">
        <v>106</v>
      </c>
      <c r="C89" s="14"/>
      <c r="D89" s="14"/>
      <c r="E89" s="1">
        <v>31</v>
      </c>
      <c r="G89" s="1">
        <v>43</v>
      </c>
      <c r="I89" s="1">
        <v>45</v>
      </c>
      <c r="S89" s="1">
        <v>34</v>
      </c>
    </row>
    <row r="90" spans="1:19" x14ac:dyDescent="0.25">
      <c r="A90" s="11">
        <v>35305</v>
      </c>
      <c r="B90" s="14" t="s">
        <v>107</v>
      </c>
      <c r="C90" s="14"/>
      <c r="D90" s="14"/>
      <c r="E90" s="1">
        <v>26</v>
      </c>
      <c r="G90" s="1">
        <v>41</v>
      </c>
      <c r="I90" s="1">
        <v>45</v>
      </c>
      <c r="S90" s="1">
        <v>35</v>
      </c>
    </row>
    <row r="91" spans="1:19" x14ac:dyDescent="0.25">
      <c r="A91" s="11">
        <v>35312</v>
      </c>
      <c r="B91" s="14" t="s">
        <v>108</v>
      </c>
      <c r="C91" s="14"/>
      <c r="D91" s="14"/>
      <c r="E91" s="1">
        <v>34</v>
      </c>
      <c r="G91" s="1">
        <v>38</v>
      </c>
      <c r="I91" s="1">
        <v>42</v>
      </c>
      <c r="S91" s="1">
        <v>36</v>
      </c>
    </row>
    <row r="92" spans="1:19" x14ac:dyDescent="0.25">
      <c r="A92" s="11">
        <v>35319</v>
      </c>
      <c r="B92" s="14" t="s">
        <v>109</v>
      </c>
      <c r="C92" s="14"/>
      <c r="D92" s="14"/>
      <c r="E92" s="1">
        <v>28</v>
      </c>
      <c r="G92" s="1">
        <v>36</v>
      </c>
      <c r="I92" s="1">
        <v>49</v>
      </c>
      <c r="S92" s="1">
        <v>37</v>
      </c>
    </row>
    <row r="93" spans="1:19" x14ac:dyDescent="0.25">
      <c r="A93" s="11">
        <v>35326</v>
      </c>
      <c r="B93" s="14" t="s">
        <v>110</v>
      </c>
      <c r="C93" s="14"/>
      <c r="D93" s="14"/>
      <c r="E93" s="1">
        <v>39</v>
      </c>
      <c r="G93" s="1">
        <v>32</v>
      </c>
      <c r="I93" s="1">
        <v>55</v>
      </c>
      <c r="S93" s="1">
        <v>38</v>
      </c>
    </row>
    <row r="94" spans="1:19" x14ac:dyDescent="0.25">
      <c r="A94" s="11">
        <v>35333</v>
      </c>
      <c r="B94" s="14" t="s">
        <v>111</v>
      </c>
      <c r="C94" s="14"/>
      <c r="D94" s="14"/>
      <c r="E94" s="1">
        <v>40</v>
      </c>
      <c r="G94" s="1">
        <v>43</v>
      </c>
      <c r="I94" s="1">
        <v>50</v>
      </c>
      <c r="S94" s="1">
        <v>39</v>
      </c>
    </row>
    <row r="95" spans="1:19" x14ac:dyDescent="0.25">
      <c r="A95" s="11">
        <v>35340</v>
      </c>
      <c r="B95" s="14" t="s">
        <v>112</v>
      </c>
      <c r="C95" s="14"/>
      <c r="D95" s="14"/>
      <c r="E95" s="1">
        <v>35</v>
      </c>
      <c r="G95" s="1">
        <v>39</v>
      </c>
      <c r="I95" s="1">
        <v>52</v>
      </c>
      <c r="S95" s="1">
        <v>40</v>
      </c>
    </row>
    <row r="96" spans="1:19" x14ac:dyDescent="0.25">
      <c r="A96" s="11">
        <v>35347</v>
      </c>
      <c r="B96" s="14" t="s">
        <v>113</v>
      </c>
      <c r="C96" s="14"/>
      <c r="D96" s="14"/>
      <c r="E96" s="1">
        <v>31</v>
      </c>
      <c r="G96" s="1">
        <v>43</v>
      </c>
      <c r="I96" s="1">
        <v>71</v>
      </c>
      <c r="S96" s="1">
        <v>41</v>
      </c>
    </row>
    <row r="97" spans="1:21" x14ac:dyDescent="0.25">
      <c r="A97" s="11">
        <v>35354</v>
      </c>
      <c r="B97" s="14" t="s">
        <v>114</v>
      </c>
      <c r="C97" s="14"/>
      <c r="D97" s="14"/>
      <c r="E97" s="1">
        <v>34</v>
      </c>
      <c r="G97" s="1">
        <v>42</v>
      </c>
      <c r="I97" s="1">
        <v>68</v>
      </c>
      <c r="S97" s="1">
        <v>42</v>
      </c>
    </row>
    <row r="98" spans="1:21" x14ac:dyDescent="0.25">
      <c r="A98" s="11">
        <v>35361</v>
      </c>
      <c r="B98" s="14" t="s">
        <v>115</v>
      </c>
      <c r="C98" s="14"/>
      <c r="D98" s="14"/>
      <c r="E98" s="1">
        <v>43</v>
      </c>
      <c r="G98" s="1">
        <v>43</v>
      </c>
      <c r="I98" s="1">
        <v>58</v>
      </c>
      <c r="S98" s="1">
        <v>43</v>
      </c>
    </row>
    <row r="99" spans="1:21" x14ac:dyDescent="0.25">
      <c r="A99" s="11">
        <v>35368</v>
      </c>
      <c r="B99" s="14" t="s">
        <v>116</v>
      </c>
      <c r="C99" s="14"/>
      <c r="D99" s="14"/>
      <c r="E99" s="1">
        <v>50</v>
      </c>
      <c r="G99" s="1">
        <v>52</v>
      </c>
      <c r="I99" s="1">
        <v>82</v>
      </c>
      <c r="S99" s="1">
        <v>44</v>
      </c>
    </row>
    <row r="100" spans="1:21" x14ac:dyDescent="0.25">
      <c r="A100" s="11">
        <v>35375</v>
      </c>
      <c r="B100" s="14" t="s">
        <v>117</v>
      </c>
      <c r="C100" s="14"/>
      <c r="D100" s="14"/>
      <c r="E100" s="1">
        <v>57</v>
      </c>
      <c r="G100" s="1">
        <v>52</v>
      </c>
      <c r="I100" s="1">
        <v>71</v>
      </c>
      <c r="S100" s="1">
        <v>45</v>
      </c>
    </row>
    <row r="101" spans="1:21" x14ac:dyDescent="0.25">
      <c r="A101" s="11">
        <v>35382</v>
      </c>
      <c r="B101" s="14" t="s">
        <v>118</v>
      </c>
      <c r="C101" s="14"/>
      <c r="D101" s="14"/>
      <c r="E101" s="1">
        <v>55</v>
      </c>
      <c r="G101" s="1">
        <v>59</v>
      </c>
      <c r="I101" s="1">
        <v>70</v>
      </c>
      <c r="S101" s="1">
        <v>46</v>
      </c>
    </row>
    <row r="102" spans="1:21" x14ac:dyDescent="0.25">
      <c r="A102" s="11">
        <v>35389</v>
      </c>
      <c r="B102" s="14" t="s">
        <v>119</v>
      </c>
      <c r="C102" s="14"/>
      <c r="D102" s="14"/>
      <c r="E102" s="1">
        <v>67</v>
      </c>
      <c r="G102" s="1">
        <v>48</v>
      </c>
      <c r="I102" s="1">
        <v>57</v>
      </c>
      <c r="S102" s="1">
        <v>47</v>
      </c>
    </row>
    <row r="103" spans="1:21" x14ac:dyDescent="0.25">
      <c r="A103" s="11">
        <v>35396</v>
      </c>
      <c r="B103" s="14" t="s">
        <v>120</v>
      </c>
      <c r="C103" s="14"/>
      <c r="D103" s="14"/>
      <c r="E103" s="1">
        <v>43</v>
      </c>
      <c r="G103" s="1">
        <v>44</v>
      </c>
      <c r="I103" s="1">
        <v>66</v>
      </c>
      <c r="S103" s="1">
        <v>48</v>
      </c>
    </row>
    <row r="104" spans="1:21" x14ac:dyDescent="0.25">
      <c r="A104" s="11">
        <v>35403</v>
      </c>
      <c r="B104" s="14" t="s">
        <v>121</v>
      </c>
      <c r="C104" s="14"/>
      <c r="D104" s="14"/>
      <c r="E104" s="1">
        <v>50</v>
      </c>
      <c r="G104" s="1">
        <v>52</v>
      </c>
      <c r="I104" s="1">
        <v>76</v>
      </c>
      <c r="S104" s="1">
        <v>49</v>
      </c>
    </row>
    <row r="105" spans="1:21" x14ac:dyDescent="0.25">
      <c r="A105" s="11">
        <v>35410</v>
      </c>
      <c r="B105" s="14" t="s">
        <v>122</v>
      </c>
      <c r="C105" s="14"/>
      <c r="D105" s="14"/>
      <c r="E105" s="1">
        <v>46</v>
      </c>
      <c r="G105" s="1">
        <v>54</v>
      </c>
      <c r="I105" s="1">
        <v>73</v>
      </c>
      <c r="S105" s="1">
        <v>50</v>
      </c>
    </row>
    <row r="106" spans="1:21" x14ac:dyDescent="0.25">
      <c r="A106" s="11">
        <v>35417</v>
      </c>
      <c r="B106" s="14" t="s">
        <v>123</v>
      </c>
      <c r="C106" s="14"/>
      <c r="D106" s="14"/>
      <c r="E106" s="1">
        <v>61</v>
      </c>
      <c r="G106" s="1">
        <v>50</v>
      </c>
      <c r="I106" s="1">
        <v>54</v>
      </c>
      <c r="S106" s="1">
        <v>51</v>
      </c>
    </row>
    <row r="107" spans="1:21" x14ac:dyDescent="0.25">
      <c r="A107" s="11">
        <v>35424</v>
      </c>
      <c r="B107" s="14" t="s">
        <v>124</v>
      </c>
      <c r="C107" s="14"/>
      <c r="D107" s="14"/>
      <c r="E107" s="1">
        <v>45</v>
      </c>
      <c r="G107" s="1">
        <v>49</v>
      </c>
      <c r="I107" s="1">
        <v>68</v>
      </c>
      <c r="S107" s="1">
        <v>52</v>
      </c>
    </row>
    <row r="108" spans="1:21" x14ac:dyDescent="0.25">
      <c r="A108" s="11">
        <v>35432</v>
      </c>
      <c r="B108" s="14" t="s">
        <v>125</v>
      </c>
      <c r="C108" s="14"/>
      <c r="D108" s="14"/>
      <c r="E108" s="1">
        <v>45</v>
      </c>
      <c r="G108" s="1">
        <v>42</v>
      </c>
      <c r="I108" s="1">
        <v>77</v>
      </c>
      <c r="S108" s="1">
        <v>1</v>
      </c>
      <c r="T108" s="1">
        <v>46.377358490566003</v>
      </c>
      <c r="U108" s="1">
        <v>46.377358490566003</v>
      </c>
    </row>
    <row r="109" spans="1:21" x14ac:dyDescent="0.25">
      <c r="A109" s="11">
        <v>35439</v>
      </c>
      <c r="B109" s="14" t="s">
        <v>126</v>
      </c>
      <c r="C109" s="14"/>
      <c r="D109" s="14"/>
      <c r="E109" s="1">
        <v>47</v>
      </c>
      <c r="G109" s="1">
        <v>43</v>
      </c>
      <c r="I109" s="1">
        <v>72</v>
      </c>
      <c r="S109" s="1">
        <v>2</v>
      </c>
    </row>
    <row r="110" spans="1:21" x14ac:dyDescent="0.25">
      <c r="A110" s="11">
        <v>35446</v>
      </c>
      <c r="B110" s="14" t="s">
        <v>127</v>
      </c>
      <c r="C110" s="14"/>
      <c r="D110" s="14"/>
      <c r="E110" s="1">
        <v>48</v>
      </c>
      <c r="G110" s="1">
        <v>53</v>
      </c>
      <c r="I110" s="1">
        <v>71</v>
      </c>
      <c r="S110" s="1">
        <v>3</v>
      </c>
    </row>
    <row r="111" spans="1:21" x14ac:dyDescent="0.25">
      <c r="A111" s="11">
        <v>35453</v>
      </c>
      <c r="B111" s="14" t="s">
        <v>128</v>
      </c>
      <c r="C111" s="14"/>
      <c r="D111" s="14"/>
      <c r="E111" s="1">
        <v>43</v>
      </c>
      <c r="G111" s="1">
        <v>52</v>
      </c>
      <c r="I111" s="1">
        <v>68</v>
      </c>
      <c r="S111" s="1">
        <v>4</v>
      </c>
    </row>
    <row r="112" spans="1:21" x14ac:dyDescent="0.25">
      <c r="A112" s="11">
        <v>35460</v>
      </c>
      <c r="B112" s="14" t="s">
        <v>129</v>
      </c>
      <c r="C112" s="14"/>
      <c r="D112" s="14"/>
      <c r="E112" s="1">
        <v>45</v>
      </c>
      <c r="G112" s="1">
        <v>43</v>
      </c>
      <c r="I112" s="1">
        <v>68</v>
      </c>
      <c r="S112" s="1">
        <v>5</v>
      </c>
    </row>
    <row r="113" spans="1:19" x14ac:dyDescent="0.25">
      <c r="A113" s="11">
        <v>35467</v>
      </c>
      <c r="B113" s="14" t="s">
        <v>130</v>
      </c>
      <c r="C113" s="14"/>
      <c r="D113" s="14"/>
      <c r="E113" s="1">
        <v>43</v>
      </c>
      <c r="G113" s="1">
        <v>52</v>
      </c>
      <c r="I113" s="1">
        <v>66</v>
      </c>
      <c r="S113" s="1">
        <v>6</v>
      </c>
    </row>
    <row r="114" spans="1:19" x14ac:dyDescent="0.25">
      <c r="A114" s="11">
        <v>35474</v>
      </c>
      <c r="B114" s="14" t="s">
        <v>131</v>
      </c>
      <c r="C114" s="14"/>
      <c r="D114" s="14"/>
      <c r="E114" s="1">
        <v>47</v>
      </c>
      <c r="G114" s="1">
        <v>50</v>
      </c>
      <c r="I114" s="1">
        <v>71</v>
      </c>
      <c r="S114" s="1">
        <v>7</v>
      </c>
    </row>
    <row r="115" spans="1:19" x14ac:dyDescent="0.25">
      <c r="A115" s="11">
        <v>35481</v>
      </c>
      <c r="B115" s="14" t="s">
        <v>132</v>
      </c>
      <c r="C115" s="14"/>
      <c r="D115" s="14"/>
      <c r="E115" s="1">
        <v>41</v>
      </c>
      <c r="G115" s="1">
        <v>55</v>
      </c>
      <c r="I115" s="1">
        <v>58</v>
      </c>
      <c r="S115" s="1">
        <v>8</v>
      </c>
    </row>
    <row r="116" spans="1:19" x14ac:dyDescent="0.25">
      <c r="A116" s="11">
        <v>35488</v>
      </c>
      <c r="B116" s="14" t="s">
        <v>133</v>
      </c>
      <c r="C116" s="14"/>
      <c r="D116" s="14"/>
      <c r="E116" s="1">
        <v>41</v>
      </c>
      <c r="G116" s="1">
        <v>44</v>
      </c>
      <c r="I116" s="1">
        <v>49</v>
      </c>
      <c r="S116" s="1">
        <v>9</v>
      </c>
    </row>
    <row r="117" spans="1:19" x14ac:dyDescent="0.25">
      <c r="A117" s="11">
        <v>35495</v>
      </c>
      <c r="B117" s="14" t="s">
        <v>134</v>
      </c>
      <c r="C117" s="14"/>
      <c r="D117" s="14"/>
      <c r="E117" s="1">
        <v>37</v>
      </c>
      <c r="G117" s="1">
        <v>43</v>
      </c>
      <c r="I117" s="1">
        <v>62</v>
      </c>
      <c r="S117" s="1">
        <v>10</v>
      </c>
    </row>
    <row r="118" spans="1:19" x14ac:dyDescent="0.25">
      <c r="A118" s="11">
        <v>35502</v>
      </c>
      <c r="B118" s="14" t="s">
        <v>135</v>
      </c>
      <c r="C118" s="14"/>
      <c r="D118" s="14"/>
      <c r="E118" s="1">
        <v>42</v>
      </c>
      <c r="G118" s="1">
        <v>46</v>
      </c>
      <c r="I118" s="1">
        <v>54</v>
      </c>
      <c r="S118" s="1">
        <v>11</v>
      </c>
    </row>
    <row r="119" spans="1:19" x14ac:dyDescent="0.25">
      <c r="A119" s="11">
        <v>35509</v>
      </c>
      <c r="B119" s="14" t="s">
        <v>136</v>
      </c>
      <c r="C119" s="14"/>
      <c r="D119" s="14"/>
      <c r="E119" s="1">
        <v>43</v>
      </c>
      <c r="G119" s="1">
        <v>42</v>
      </c>
      <c r="I119" s="1">
        <v>48</v>
      </c>
      <c r="S119" s="1">
        <v>12</v>
      </c>
    </row>
    <row r="120" spans="1:19" x14ac:dyDescent="0.25">
      <c r="A120" s="11">
        <v>35516</v>
      </c>
      <c r="B120" s="14" t="s">
        <v>137</v>
      </c>
      <c r="C120" s="14"/>
      <c r="D120" s="14"/>
      <c r="E120" s="1">
        <v>35</v>
      </c>
      <c r="G120" s="1">
        <v>35</v>
      </c>
      <c r="I120" s="1">
        <v>49</v>
      </c>
      <c r="S120" s="1">
        <v>13</v>
      </c>
    </row>
    <row r="121" spans="1:19" x14ac:dyDescent="0.25">
      <c r="A121" s="11">
        <v>35523</v>
      </c>
      <c r="B121" s="14" t="s">
        <v>138</v>
      </c>
      <c r="C121" s="14"/>
      <c r="D121" s="14"/>
      <c r="E121" s="1">
        <v>36</v>
      </c>
      <c r="G121" s="1">
        <v>41</v>
      </c>
      <c r="I121" s="1">
        <v>43</v>
      </c>
      <c r="S121" s="1">
        <v>14</v>
      </c>
    </row>
    <row r="122" spans="1:19" x14ac:dyDescent="0.25">
      <c r="A122" s="11">
        <v>35530</v>
      </c>
      <c r="B122" s="14" t="s">
        <v>139</v>
      </c>
      <c r="C122" s="14"/>
      <c r="D122" s="14"/>
      <c r="E122" s="1">
        <v>22</v>
      </c>
      <c r="G122" s="1">
        <v>39</v>
      </c>
      <c r="I122" s="1">
        <v>43</v>
      </c>
      <c r="S122" s="1">
        <v>15</v>
      </c>
    </row>
    <row r="123" spans="1:19" x14ac:dyDescent="0.25">
      <c r="A123" s="11">
        <v>35537</v>
      </c>
      <c r="B123" s="14" t="s">
        <v>140</v>
      </c>
      <c r="C123" s="14"/>
      <c r="D123" s="14"/>
      <c r="E123" s="1">
        <v>28</v>
      </c>
      <c r="G123" s="1">
        <v>43</v>
      </c>
      <c r="I123" s="1">
        <v>55</v>
      </c>
      <c r="S123" s="1">
        <v>16</v>
      </c>
    </row>
    <row r="124" spans="1:19" x14ac:dyDescent="0.25">
      <c r="A124" s="11">
        <v>35544</v>
      </c>
      <c r="B124" s="14" t="s">
        <v>141</v>
      </c>
      <c r="C124" s="14"/>
      <c r="D124" s="14"/>
      <c r="E124" s="1">
        <v>29</v>
      </c>
      <c r="G124" s="1">
        <v>38</v>
      </c>
      <c r="I124" s="1">
        <v>45</v>
      </c>
      <c r="S124" s="1">
        <v>17</v>
      </c>
    </row>
    <row r="125" spans="1:19" x14ac:dyDescent="0.25">
      <c r="A125" s="11">
        <v>35551</v>
      </c>
      <c r="B125" s="14" t="s">
        <v>142</v>
      </c>
      <c r="C125" s="14"/>
      <c r="D125" s="14"/>
      <c r="E125" s="1">
        <v>29</v>
      </c>
      <c r="G125" s="1">
        <v>36</v>
      </c>
      <c r="I125" s="1">
        <v>39</v>
      </c>
      <c r="P125" s="1">
        <v>7</v>
      </c>
      <c r="Q125" s="1">
        <v>6</v>
      </c>
      <c r="R125" s="1">
        <v>1</v>
      </c>
      <c r="S125" s="1">
        <v>18</v>
      </c>
    </row>
    <row r="126" spans="1:19" x14ac:dyDescent="0.25">
      <c r="A126" s="11">
        <v>35558</v>
      </c>
      <c r="B126" s="14" t="s">
        <v>143</v>
      </c>
      <c r="C126" s="14"/>
      <c r="D126" s="14"/>
      <c r="E126" s="1">
        <v>17</v>
      </c>
      <c r="G126" s="1">
        <v>45</v>
      </c>
      <c r="I126" s="1">
        <v>34</v>
      </c>
      <c r="P126" s="1">
        <v>9</v>
      </c>
      <c r="Q126" s="1">
        <v>10</v>
      </c>
      <c r="R126" s="1">
        <v>0</v>
      </c>
      <c r="S126" s="1">
        <v>19</v>
      </c>
    </row>
    <row r="127" spans="1:19" x14ac:dyDescent="0.25">
      <c r="A127" s="11">
        <v>35565</v>
      </c>
      <c r="B127" s="14" t="s">
        <v>144</v>
      </c>
      <c r="C127" s="14"/>
      <c r="D127" s="14"/>
      <c r="E127" s="1">
        <v>11</v>
      </c>
      <c r="G127" s="1">
        <v>25</v>
      </c>
      <c r="I127" s="1">
        <v>45</v>
      </c>
      <c r="P127" s="1">
        <v>10</v>
      </c>
      <c r="Q127" s="1">
        <v>9</v>
      </c>
      <c r="R127" s="1">
        <v>5</v>
      </c>
      <c r="S127" s="1">
        <v>20</v>
      </c>
    </row>
    <row r="128" spans="1:19" x14ac:dyDescent="0.25">
      <c r="A128" s="11">
        <v>35572</v>
      </c>
      <c r="B128" s="14" t="s">
        <v>145</v>
      </c>
      <c r="C128" s="14"/>
      <c r="D128" s="14"/>
      <c r="E128" s="1">
        <v>22</v>
      </c>
      <c r="G128" s="1">
        <v>26</v>
      </c>
      <c r="I128" s="1">
        <v>49</v>
      </c>
      <c r="P128" s="1">
        <v>9</v>
      </c>
      <c r="Q128" s="1">
        <v>10</v>
      </c>
      <c r="R128" s="1">
        <v>5</v>
      </c>
      <c r="S128" s="1">
        <v>21</v>
      </c>
    </row>
    <row r="129" spans="1:19" x14ac:dyDescent="0.25">
      <c r="A129" s="11">
        <v>35579</v>
      </c>
      <c r="B129" s="14" t="s">
        <v>146</v>
      </c>
      <c r="C129" s="14"/>
      <c r="D129" s="14"/>
      <c r="E129" s="1">
        <v>36</v>
      </c>
      <c r="G129" s="1">
        <v>35</v>
      </c>
      <c r="I129" s="1">
        <v>31</v>
      </c>
      <c r="P129" s="1">
        <v>17</v>
      </c>
      <c r="Q129" s="1">
        <v>9</v>
      </c>
      <c r="R129" s="1">
        <v>4</v>
      </c>
      <c r="S129" s="1">
        <v>22</v>
      </c>
    </row>
    <row r="130" spans="1:19" x14ac:dyDescent="0.25">
      <c r="A130" s="11">
        <v>35586</v>
      </c>
      <c r="B130" s="14" t="s">
        <v>147</v>
      </c>
      <c r="C130" s="14"/>
      <c r="D130" s="14"/>
      <c r="E130" s="1">
        <v>23</v>
      </c>
      <c r="G130" s="1">
        <v>34</v>
      </c>
      <c r="I130" s="1">
        <v>43</v>
      </c>
      <c r="P130" s="1">
        <v>16</v>
      </c>
      <c r="Q130" s="1">
        <v>12</v>
      </c>
      <c r="R130" s="1">
        <v>0</v>
      </c>
      <c r="S130" s="1">
        <v>23</v>
      </c>
    </row>
    <row r="131" spans="1:19" x14ac:dyDescent="0.25">
      <c r="A131" s="11">
        <v>35593</v>
      </c>
      <c r="B131" s="14" t="s">
        <v>148</v>
      </c>
      <c r="C131" s="14"/>
      <c r="D131" s="14"/>
      <c r="E131" s="1">
        <v>27</v>
      </c>
      <c r="G131" s="1">
        <v>34</v>
      </c>
      <c r="I131" s="1">
        <v>53</v>
      </c>
      <c r="P131" s="1">
        <v>12</v>
      </c>
      <c r="Q131" s="1">
        <v>14</v>
      </c>
      <c r="R131" s="1">
        <v>0</v>
      </c>
      <c r="S131" s="1">
        <v>24</v>
      </c>
    </row>
    <row r="132" spans="1:19" x14ac:dyDescent="0.25">
      <c r="A132" s="11">
        <v>35600</v>
      </c>
      <c r="B132" s="14" t="s">
        <v>149</v>
      </c>
      <c r="C132" s="14"/>
      <c r="D132" s="14"/>
      <c r="E132" s="1">
        <v>28</v>
      </c>
      <c r="G132" s="1">
        <v>37</v>
      </c>
      <c r="I132" s="1">
        <v>40</v>
      </c>
      <c r="P132" s="1">
        <v>12</v>
      </c>
      <c r="Q132" s="1">
        <v>5</v>
      </c>
      <c r="R132" s="1">
        <v>1</v>
      </c>
      <c r="S132" s="1">
        <v>25</v>
      </c>
    </row>
    <row r="133" spans="1:19" x14ac:dyDescent="0.25">
      <c r="A133" s="11">
        <v>35607</v>
      </c>
      <c r="B133" s="14" t="s">
        <v>150</v>
      </c>
      <c r="C133" s="14"/>
      <c r="D133" s="14"/>
      <c r="E133" s="1">
        <v>21</v>
      </c>
      <c r="G133" s="1">
        <v>40</v>
      </c>
      <c r="I133" s="1">
        <v>42</v>
      </c>
      <c r="P133" s="1">
        <v>16</v>
      </c>
      <c r="Q133" s="1">
        <v>6</v>
      </c>
      <c r="R133" s="1">
        <v>4</v>
      </c>
      <c r="S133" s="1">
        <v>26</v>
      </c>
    </row>
    <row r="134" spans="1:19" x14ac:dyDescent="0.25">
      <c r="A134" s="11">
        <v>35614</v>
      </c>
      <c r="B134" s="14" t="s">
        <v>151</v>
      </c>
      <c r="C134" s="14"/>
      <c r="D134" s="14"/>
      <c r="E134" s="1">
        <v>19</v>
      </c>
      <c r="G134" s="1">
        <v>32</v>
      </c>
      <c r="I134" s="1">
        <v>65</v>
      </c>
      <c r="P134" s="1">
        <v>15</v>
      </c>
      <c r="Q134" s="1">
        <v>13</v>
      </c>
      <c r="R134" s="1">
        <v>4</v>
      </c>
      <c r="S134" s="1">
        <v>27</v>
      </c>
    </row>
    <row r="135" spans="1:19" x14ac:dyDescent="0.25">
      <c r="A135" s="11">
        <v>35621</v>
      </c>
      <c r="B135" s="14" t="s">
        <v>152</v>
      </c>
      <c r="C135" s="14"/>
      <c r="D135" s="14"/>
      <c r="E135" s="1">
        <v>29</v>
      </c>
      <c r="G135" s="1">
        <v>38</v>
      </c>
      <c r="I135" s="1">
        <v>55</v>
      </c>
      <c r="P135" s="1">
        <v>16</v>
      </c>
      <c r="Q135" s="1">
        <v>9</v>
      </c>
      <c r="R135" s="1">
        <v>9</v>
      </c>
      <c r="S135" s="1">
        <v>28</v>
      </c>
    </row>
    <row r="136" spans="1:19" x14ac:dyDescent="0.25">
      <c r="A136" s="11">
        <v>35628</v>
      </c>
      <c r="B136" s="14" t="s">
        <v>153</v>
      </c>
      <c r="C136" s="14"/>
      <c r="D136" s="14"/>
      <c r="E136" s="1">
        <v>23</v>
      </c>
      <c r="G136" s="1">
        <v>40</v>
      </c>
      <c r="I136" s="1">
        <v>56</v>
      </c>
      <c r="P136" s="1">
        <v>11</v>
      </c>
      <c r="Q136" s="1">
        <v>18</v>
      </c>
      <c r="R136" s="1">
        <v>5</v>
      </c>
      <c r="S136" s="1">
        <v>29</v>
      </c>
    </row>
    <row r="137" spans="1:19" x14ac:dyDescent="0.25">
      <c r="A137" s="11">
        <v>35635</v>
      </c>
      <c r="B137" s="14" t="s">
        <v>154</v>
      </c>
      <c r="C137" s="14"/>
      <c r="D137" s="14"/>
      <c r="E137" s="1">
        <v>19</v>
      </c>
      <c r="G137" s="1">
        <v>45</v>
      </c>
      <c r="I137" s="1">
        <v>55</v>
      </c>
      <c r="P137" s="1">
        <v>13</v>
      </c>
      <c r="Q137" s="1">
        <v>4</v>
      </c>
      <c r="R137" s="1">
        <v>1</v>
      </c>
      <c r="S137" s="1">
        <v>30</v>
      </c>
    </row>
    <row r="138" spans="1:19" x14ac:dyDescent="0.25">
      <c r="A138" s="11">
        <v>35642</v>
      </c>
      <c r="B138" s="14" t="s">
        <v>155</v>
      </c>
      <c r="C138" s="14"/>
      <c r="D138" s="14"/>
      <c r="E138" s="1">
        <v>31</v>
      </c>
      <c r="G138" s="1">
        <v>45</v>
      </c>
      <c r="I138" s="1">
        <v>54</v>
      </c>
      <c r="P138" s="1">
        <v>9</v>
      </c>
      <c r="Q138" s="1">
        <v>10</v>
      </c>
      <c r="R138" s="1">
        <v>0</v>
      </c>
      <c r="S138" s="1">
        <v>31</v>
      </c>
    </row>
    <row r="139" spans="1:19" x14ac:dyDescent="0.25">
      <c r="A139" s="11">
        <v>35649</v>
      </c>
      <c r="B139" s="14" t="s">
        <v>156</v>
      </c>
      <c r="C139" s="14"/>
      <c r="D139" s="14"/>
      <c r="E139" s="1">
        <v>29</v>
      </c>
      <c r="G139" s="1">
        <v>44</v>
      </c>
      <c r="I139" s="1">
        <v>64</v>
      </c>
      <c r="P139" s="1">
        <v>13</v>
      </c>
      <c r="Q139" s="1">
        <v>6</v>
      </c>
      <c r="R139" s="1">
        <v>0</v>
      </c>
      <c r="S139" s="1">
        <v>32</v>
      </c>
    </row>
    <row r="140" spans="1:19" x14ac:dyDescent="0.25">
      <c r="A140" s="11">
        <v>35656</v>
      </c>
      <c r="B140" s="14" t="s">
        <v>157</v>
      </c>
      <c r="C140" s="14"/>
      <c r="D140" s="14"/>
      <c r="E140" s="1">
        <v>35</v>
      </c>
      <c r="G140" s="1">
        <v>37</v>
      </c>
      <c r="I140" s="1">
        <v>64</v>
      </c>
      <c r="P140" s="1">
        <v>12</v>
      </c>
      <c r="Q140" s="1">
        <v>4</v>
      </c>
      <c r="R140" s="1">
        <v>4</v>
      </c>
      <c r="S140" s="1">
        <v>33</v>
      </c>
    </row>
    <row r="141" spans="1:19" x14ac:dyDescent="0.25">
      <c r="A141" s="11">
        <v>35663</v>
      </c>
      <c r="B141" s="14" t="s">
        <v>158</v>
      </c>
      <c r="C141" s="14"/>
      <c r="D141" s="14"/>
      <c r="E141" s="1">
        <v>34</v>
      </c>
      <c r="G141" s="1">
        <v>37</v>
      </c>
      <c r="I141" s="1">
        <v>64</v>
      </c>
      <c r="P141" s="1">
        <v>15</v>
      </c>
      <c r="Q141" s="1">
        <v>11</v>
      </c>
      <c r="R141" s="1">
        <v>5</v>
      </c>
      <c r="S141" s="1">
        <v>34</v>
      </c>
    </row>
    <row r="142" spans="1:19" x14ac:dyDescent="0.25">
      <c r="A142" s="11">
        <v>35670</v>
      </c>
      <c r="B142" s="14" t="s">
        <v>159</v>
      </c>
      <c r="C142" s="14"/>
      <c r="D142" s="14"/>
      <c r="E142" s="1">
        <v>28</v>
      </c>
      <c r="G142" s="1">
        <v>52</v>
      </c>
      <c r="I142" s="1">
        <v>55</v>
      </c>
      <c r="P142" s="1">
        <v>10</v>
      </c>
      <c r="Q142" s="1">
        <v>10</v>
      </c>
      <c r="R142" s="1">
        <v>2</v>
      </c>
      <c r="S142" s="1">
        <v>35</v>
      </c>
    </row>
    <row r="143" spans="1:19" x14ac:dyDescent="0.25">
      <c r="A143" s="11">
        <v>35677</v>
      </c>
      <c r="B143" s="14" t="s">
        <v>160</v>
      </c>
      <c r="C143" s="14"/>
      <c r="D143" s="14"/>
      <c r="E143" s="1">
        <v>33</v>
      </c>
      <c r="G143" s="1">
        <v>39</v>
      </c>
      <c r="I143" s="1">
        <v>55</v>
      </c>
      <c r="M143" s="1">
        <v>9</v>
      </c>
      <c r="P143" s="1">
        <v>7</v>
      </c>
      <c r="Q143" s="1">
        <v>7</v>
      </c>
      <c r="R143" s="1">
        <v>0</v>
      </c>
      <c r="S143" s="1">
        <v>36</v>
      </c>
    </row>
    <row r="144" spans="1:19" x14ac:dyDescent="0.25">
      <c r="A144" s="11">
        <v>35684</v>
      </c>
      <c r="B144" s="14" t="s">
        <v>161</v>
      </c>
      <c r="C144" s="14"/>
      <c r="D144" s="14"/>
      <c r="E144" s="1">
        <v>33</v>
      </c>
      <c r="G144" s="1">
        <v>46</v>
      </c>
      <c r="I144" s="1">
        <v>59</v>
      </c>
      <c r="M144" s="1">
        <v>10</v>
      </c>
      <c r="P144" s="1">
        <v>5</v>
      </c>
      <c r="Q144" s="1">
        <v>3</v>
      </c>
      <c r="R144" s="1">
        <v>1</v>
      </c>
      <c r="S144" s="1">
        <v>37</v>
      </c>
    </row>
    <row r="145" spans="1:21" x14ac:dyDescent="0.25">
      <c r="A145" s="11">
        <v>35691</v>
      </c>
      <c r="B145" s="14" t="s">
        <v>162</v>
      </c>
      <c r="C145" s="14"/>
      <c r="D145" s="14"/>
      <c r="E145" s="1">
        <v>35</v>
      </c>
      <c r="G145" s="1">
        <v>56</v>
      </c>
      <c r="I145" s="1">
        <v>64</v>
      </c>
      <c r="P145" s="1">
        <v>13</v>
      </c>
      <c r="Q145" s="1">
        <v>11</v>
      </c>
      <c r="R145" s="1">
        <v>4</v>
      </c>
      <c r="S145" s="1">
        <v>38</v>
      </c>
    </row>
    <row r="146" spans="1:21" x14ac:dyDescent="0.25">
      <c r="A146" s="11">
        <v>35698</v>
      </c>
      <c r="B146" s="14" t="s">
        <v>163</v>
      </c>
      <c r="C146" s="14"/>
      <c r="D146" s="14"/>
      <c r="E146" s="1">
        <v>52</v>
      </c>
      <c r="G146" s="1">
        <v>48</v>
      </c>
      <c r="I146" s="1">
        <v>56</v>
      </c>
      <c r="P146" s="1">
        <v>13</v>
      </c>
      <c r="Q146" s="1">
        <v>13</v>
      </c>
      <c r="R146" s="1">
        <v>4</v>
      </c>
      <c r="S146" s="1">
        <v>39</v>
      </c>
    </row>
    <row r="147" spans="1:21" x14ac:dyDescent="0.25">
      <c r="A147" s="11">
        <v>35705</v>
      </c>
      <c r="B147" s="14" t="s">
        <v>164</v>
      </c>
      <c r="C147" s="14"/>
      <c r="D147" s="14"/>
      <c r="E147" s="1">
        <v>36</v>
      </c>
      <c r="G147" s="1">
        <v>52</v>
      </c>
      <c r="I147" s="1">
        <v>52</v>
      </c>
      <c r="P147" s="1">
        <v>9</v>
      </c>
      <c r="Q147" s="1">
        <v>4</v>
      </c>
      <c r="R147" s="1">
        <v>7</v>
      </c>
      <c r="S147" s="1">
        <v>40</v>
      </c>
    </row>
    <row r="148" spans="1:21" x14ac:dyDescent="0.25">
      <c r="A148" s="11">
        <v>35712</v>
      </c>
      <c r="B148" s="14" t="s">
        <v>165</v>
      </c>
      <c r="C148" s="14"/>
      <c r="D148" s="14"/>
      <c r="E148" s="1">
        <v>31</v>
      </c>
      <c r="G148" s="1">
        <v>54</v>
      </c>
      <c r="I148" s="1">
        <v>62</v>
      </c>
      <c r="P148" s="1">
        <v>13</v>
      </c>
      <c r="Q148" s="1">
        <v>8</v>
      </c>
      <c r="R148" s="1">
        <v>0</v>
      </c>
      <c r="S148" s="1">
        <v>41</v>
      </c>
    </row>
    <row r="149" spans="1:21" x14ac:dyDescent="0.25">
      <c r="A149" s="11">
        <v>35719</v>
      </c>
      <c r="B149" s="14" t="s">
        <v>166</v>
      </c>
      <c r="C149" s="14"/>
      <c r="D149" s="14"/>
      <c r="E149" s="1">
        <v>37</v>
      </c>
      <c r="G149" s="1">
        <v>46</v>
      </c>
      <c r="I149" s="1">
        <v>64</v>
      </c>
      <c r="P149" s="1">
        <v>13</v>
      </c>
      <c r="Q149" s="1">
        <v>11</v>
      </c>
      <c r="R149" s="1">
        <v>2</v>
      </c>
      <c r="S149" s="1">
        <v>42</v>
      </c>
    </row>
    <row r="150" spans="1:21" x14ac:dyDescent="0.25">
      <c r="A150" s="11">
        <v>35726</v>
      </c>
      <c r="B150" s="14" t="s">
        <v>167</v>
      </c>
      <c r="C150" s="14"/>
      <c r="D150" s="14"/>
      <c r="E150" s="1">
        <v>30</v>
      </c>
      <c r="G150" s="1">
        <v>61</v>
      </c>
      <c r="I150" s="1">
        <v>60</v>
      </c>
      <c r="P150" s="1">
        <v>14</v>
      </c>
      <c r="Q150" s="1">
        <v>16</v>
      </c>
      <c r="R150" s="1">
        <v>4</v>
      </c>
      <c r="S150" s="1">
        <v>43</v>
      </c>
    </row>
    <row r="151" spans="1:21" x14ac:dyDescent="0.25">
      <c r="A151" s="11">
        <v>35733</v>
      </c>
      <c r="B151" s="14" t="s">
        <v>168</v>
      </c>
      <c r="C151" s="14"/>
      <c r="D151" s="14"/>
      <c r="E151" s="1">
        <v>34</v>
      </c>
      <c r="G151" s="1">
        <v>50</v>
      </c>
      <c r="I151" s="1">
        <v>67</v>
      </c>
      <c r="P151" s="1">
        <v>14</v>
      </c>
      <c r="Q151" s="1">
        <v>9</v>
      </c>
      <c r="R151" s="1">
        <v>6</v>
      </c>
      <c r="S151" s="1">
        <v>44</v>
      </c>
    </row>
    <row r="152" spans="1:21" x14ac:dyDescent="0.25">
      <c r="A152" s="11">
        <v>35740</v>
      </c>
      <c r="B152" s="14" t="s">
        <v>169</v>
      </c>
      <c r="C152" s="14"/>
      <c r="D152" s="14"/>
      <c r="E152" s="1">
        <v>35</v>
      </c>
      <c r="G152" s="1">
        <v>56</v>
      </c>
      <c r="I152" s="1">
        <v>75</v>
      </c>
      <c r="P152" s="1">
        <v>14</v>
      </c>
      <c r="Q152" s="1">
        <v>16</v>
      </c>
      <c r="R152" s="1">
        <v>4</v>
      </c>
      <c r="S152" s="1">
        <v>45</v>
      </c>
    </row>
    <row r="153" spans="1:21" x14ac:dyDescent="0.25">
      <c r="A153" s="11">
        <v>35747</v>
      </c>
      <c r="B153" s="14" t="s">
        <v>170</v>
      </c>
      <c r="C153" s="14"/>
      <c r="D153" s="14"/>
      <c r="E153" s="1">
        <v>33</v>
      </c>
      <c r="G153" s="1">
        <v>49</v>
      </c>
      <c r="I153" s="1">
        <v>70</v>
      </c>
      <c r="P153" s="1">
        <v>15</v>
      </c>
      <c r="Q153" s="1">
        <v>12</v>
      </c>
      <c r="R153" s="1">
        <v>3</v>
      </c>
      <c r="S153" s="1">
        <v>46</v>
      </c>
    </row>
    <row r="154" spans="1:21" x14ac:dyDescent="0.25">
      <c r="A154" s="11">
        <v>35754</v>
      </c>
      <c r="B154" s="14" t="s">
        <v>171</v>
      </c>
      <c r="C154" s="14"/>
      <c r="D154" s="14"/>
      <c r="E154" s="1">
        <v>29</v>
      </c>
      <c r="G154" s="1">
        <v>54</v>
      </c>
      <c r="I154" s="1">
        <v>73</v>
      </c>
      <c r="P154" s="1">
        <v>14</v>
      </c>
      <c r="Q154" s="1">
        <v>12</v>
      </c>
      <c r="R154" s="1">
        <v>6</v>
      </c>
      <c r="S154" s="1">
        <v>47</v>
      </c>
    </row>
    <row r="155" spans="1:21" x14ac:dyDescent="0.25">
      <c r="A155" s="11">
        <v>35761</v>
      </c>
      <c r="B155" s="14" t="s">
        <v>172</v>
      </c>
      <c r="C155" s="14"/>
      <c r="D155" s="14"/>
      <c r="E155" s="1">
        <v>34</v>
      </c>
      <c r="G155" s="1">
        <v>54</v>
      </c>
      <c r="I155" s="1">
        <v>89</v>
      </c>
      <c r="P155" s="1">
        <v>13</v>
      </c>
      <c r="Q155" s="1">
        <v>5</v>
      </c>
      <c r="R155" s="1">
        <v>3</v>
      </c>
      <c r="S155" s="1">
        <v>48</v>
      </c>
    </row>
    <row r="156" spans="1:21" x14ac:dyDescent="0.25">
      <c r="A156" s="11">
        <v>35768</v>
      </c>
      <c r="B156" s="14" t="s">
        <v>173</v>
      </c>
      <c r="C156" s="14"/>
      <c r="D156" s="14"/>
      <c r="E156" s="1">
        <v>44</v>
      </c>
      <c r="G156" s="1">
        <v>59</v>
      </c>
      <c r="I156" s="1">
        <v>75</v>
      </c>
      <c r="P156" s="1">
        <v>10</v>
      </c>
      <c r="Q156" s="1">
        <v>14</v>
      </c>
      <c r="R156" s="1">
        <v>2</v>
      </c>
      <c r="S156" s="1">
        <v>49</v>
      </c>
    </row>
    <row r="157" spans="1:21" x14ac:dyDescent="0.25">
      <c r="A157" s="11">
        <v>35775</v>
      </c>
      <c r="B157" s="14" t="s">
        <v>174</v>
      </c>
      <c r="C157" s="14"/>
      <c r="D157" s="14"/>
      <c r="E157" s="1">
        <v>37</v>
      </c>
      <c r="G157" s="1">
        <v>54</v>
      </c>
      <c r="I157" s="1">
        <v>67</v>
      </c>
      <c r="P157" s="1">
        <v>9</v>
      </c>
      <c r="Q157" s="1">
        <v>9</v>
      </c>
      <c r="R157" s="1">
        <v>5</v>
      </c>
      <c r="S157" s="1">
        <v>50</v>
      </c>
    </row>
    <row r="158" spans="1:21" x14ac:dyDescent="0.25">
      <c r="A158" s="11">
        <v>35782</v>
      </c>
      <c r="B158" s="14" t="s">
        <v>175</v>
      </c>
      <c r="C158" s="14"/>
      <c r="D158" s="14"/>
      <c r="E158" s="1">
        <v>31</v>
      </c>
      <c r="G158" s="1">
        <v>58</v>
      </c>
      <c r="I158" s="1">
        <v>67</v>
      </c>
      <c r="P158" s="1">
        <v>7</v>
      </c>
      <c r="Q158" s="1">
        <v>10</v>
      </c>
      <c r="R158" s="1">
        <v>3</v>
      </c>
      <c r="S158" s="1">
        <v>51</v>
      </c>
    </row>
    <row r="159" spans="1:21" x14ac:dyDescent="0.25">
      <c r="A159" s="11">
        <v>35789</v>
      </c>
      <c r="B159" s="14" t="s">
        <v>176</v>
      </c>
      <c r="C159" s="14"/>
      <c r="D159" s="14"/>
      <c r="E159" s="1">
        <v>31</v>
      </c>
      <c r="G159" s="1">
        <v>58</v>
      </c>
      <c r="I159" s="1">
        <v>67</v>
      </c>
      <c r="P159" s="1">
        <v>7</v>
      </c>
      <c r="Q159" s="1">
        <v>11</v>
      </c>
      <c r="R159" s="1">
        <v>4</v>
      </c>
      <c r="S159" s="1">
        <v>52</v>
      </c>
    </row>
    <row r="160" spans="1:21" x14ac:dyDescent="0.25">
      <c r="A160" s="11">
        <v>35796</v>
      </c>
      <c r="B160" s="14" t="s">
        <v>177</v>
      </c>
      <c r="C160" s="14"/>
      <c r="D160" s="14"/>
      <c r="E160" s="1">
        <v>41</v>
      </c>
      <c r="G160" s="1">
        <v>46</v>
      </c>
      <c r="I160" s="1">
        <v>79</v>
      </c>
      <c r="P160" s="1">
        <v>12</v>
      </c>
      <c r="Q160" s="1">
        <v>5</v>
      </c>
      <c r="R160" s="1">
        <v>1</v>
      </c>
      <c r="S160" s="1">
        <v>1</v>
      </c>
      <c r="T160" s="1">
        <v>33.274509803921603</v>
      </c>
      <c r="U160" s="1">
        <v>44.686274509803901</v>
      </c>
    </row>
    <row r="161" spans="1:19" x14ac:dyDescent="0.25">
      <c r="A161" s="11">
        <v>35803</v>
      </c>
      <c r="B161" s="14" t="s">
        <v>178</v>
      </c>
      <c r="C161" s="14"/>
      <c r="D161" s="14"/>
      <c r="E161" s="1">
        <v>41</v>
      </c>
      <c r="G161" s="1">
        <v>46</v>
      </c>
      <c r="I161" s="1">
        <v>79</v>
      </c>
      <c r="P161" s="1">
        <v>12</v>
      </c>
      <c r="Q161" s="1">
        <v>9</v>
      </c>
      <c r="R161" s="1">
        <v>2</v>
      </c>
      <c r="S161" s="1">
        <v>2</v>
      </c>
    </row>
    <row r="162" spans="1:19" x14ac:dyDescent="0.25">
      <c r="A162" s="11">
        <v>35810</v>
      </c>
      <c r="B162" s="14" t="s">
        <v>179</v>
      </c>
      <c r="C162" s="14"/>
      <c r="D162" s="14"/>
      <c r="E162" s="1">
        <v>45</v>
      </c>
      <c r="G162" s="1">
        <v>49</v>
      </c>
      <c r="I162" s="1">
        <v>80</v>
      </c>
      <c r="P162" s="1">
        <v>15</v>
      </c>
      <c r="Q162" s="1">
        <v>7</v>
      </c>
      <c r="R162" s="1">
        <v>2</v>
      </c>
      <c r="S162" s="1">
        <v>3</v>
      </c>
    </row>
    <row r="163" spans="1:19" x14ac:dyDescent="0.25">
      <c r="A163" s="11">
        <v>35817</v>
      </c>
      <c r="B163" s="14" t="s">
        <v>180</v>
      </c>
      <c r="C163" s="14"/>
      <c r="D163" s="14"/>
      <c r="E163" s="1">
        <v>62</v>
      </c>
      <c r="G163" s="1">
        <v>55</v>
      </c>
      <c r="I163" s="1">
        <v>65</v>
      </c>
      <c r="P163" s="1">
        <v>17</v>
      </c>
      <c r="Q163" s="1">
        <v>12</v>
      </c>
      <c r="R163" s="1">
        <v>2</v>
      </c>
      <c r="S163" s="1">
        <v>4</v>
      </c>
    </row>
    <row r="164" spans="1:19" x14ac:dyDescent="0.25">
      <c r="A164" s="11">
        <v>35824</v>
      </c>
      <c r="B164" s="14" t="s">
        <v>181</v>
      </c>
      <c r="C164" s="14"/>
      <c r="D164" s="14"/>
      <c r="E164" s="1">
        <v>57</v>
      </c>
      <c r="G164" s="1">
        <v>52</v>
      </c>
      <c r="I164" s="1">
        <v>71</v>
      </c>
      <c r="P164" s="1">
        <v>12</v>
      </c>
      <c r="Q164" s="1">
        <v>14</v>
      </c>
      <c r="R164" s="1">
        <v>1</v>
      </c>
      <c r="S164" s="1">
        <v>5</v>
      </c>
    </row>
    <row r="165" spans="1:19" x14ac:dyDescent="0.25">
      <c r="A165" s="11">
        <v>35831</v>
      </c>
      <c r="B165" s="14" t="s">
        <v>182</v>
      </c>
      <c r="C165" s="14"/>
      <c r="D165" s="14"/>
      <c r="E165" s="1">
        <v>52</v>
      </c>
      <c r="G165" s="1">
        <v>52</v>
      </c>
      <c r="I165" s="1">
        <v>84</v>
      </c>
      <c r="P165" s="1">
        <v>10</v>
      </c>
      <c r="Q165" s="1">
        <v>8</v>
      </c>
      <c r="R165" s="1">
        <v>7</v>
      </c>
      <c r="S165" s="1">
        <v>6</v>
      </c>
    </row>
    <row r="166" spans="1:19" x14ac:dyDescent="0.25">
      <c r="A166" s="11">
        <v>35838</v>
      </c>
      <c r="B166" s="14" t="s">
        <v>183</v>
      </c>
      <c r="C166" s="14"/>
      <c r="D166" s="14"/>
      <c r="E166" s="1">
        <v>62</v>
      </c>
      <c r="G166" s="1">
        <v>56</v>
      </c>
      <c r="I166" s="1">
        <v>58</v>
      </c>
      <c r="P166" s="1">
        <v>11</v>
      </c>
      <c r="Q166" s="1">
        <v>13</v>
      </c>
      <c r="R166" s="1">
        <v>8</v>
      </c>
      <c r="S166" s="1">
        <v>7</v>
      </c>
    </row>
    <row r="167" spans="1:19" x14ac:dyDescent="0.25">
      <c r="A167" s="11">
        <v>35845</v>
      </c>
      <c r="B167" s="14" t="s">
        <v>184</v>
      </c>
      <c r="C167" s="14"/>
      <c r="D167" s="14"/>
      <c r="E167" s="1">
        <v>56</v>
      </c>
      <c r="G167" s="1">
        <v>57</v>
      </c>
      <c r="I167" s="1">
        <v>66</v>
      </c>
      <c r="P167" s="1">
        <v>16</v>
      </c>
      <c r="Q167" s="1">
        <v>7</v>
      </c>
      <c r="R167" s="1">
        <v>4</v>
      </c>
      <c r="S167" s="1">
        <v>8</v>
      </c>
    </row>
    <row r="168" spans="1:19" x14ac:dyDescent="0.25">
      <c r="A168" s="11">
        <v>35852</v>
      </c>
      <c r="B168" s="14" t="s">
        <v>185</v>
      </c>
      <c r="C168" s="14"/>
      <c r="D168" s="14"/>
      <c r="E168" s="1">
        <v>49</v>
      </c>
      <c r="G168" s="1">
        <v>52</v>
      </c>
      <c r="I168" s="1">
        <v>61</v>
      </c>
      <c r="P168" s="1">
        <v>16</v>
      </c>
      <c r="Q168" s="1">
        <v>8</v>
      </c>
      <c r="R168" s="1">
        <v>1</v>
      </c>
      <c r="S168" s="1">
        <v>9</v>
      </c>
    </row>
    <row r="169" spans="1:19" x14ac:dyDescent="0.25">
      <c r="A169" s="11">
        <v>35859</v>
      </c>
      <c r="B169" s="14" t="s">
        <v>186</v>
      </c>
      <c r="C169" s="14"/>
      <c r="D169" s="14"/>
      <c r="E169" s="1">
        <v>47</v>
      </c>
      <c r="G169" s="1">
        <v>55</v>
      </c>
      <c r="I169" s="1">
        <v>68</v>
      </c>
      <c r="P169" s="1">
        <v>13</v>
      </c>
      <c r="Q169" s="1">
        <v>13</v>
      </c>
      <c r="R169" s="1">
        <v>3</v>
      </c>
      <c r="S169" s="1">
        <v>10</v>
      </c>
    </row>
    <row r="170" spans="1:19" x14ac:dyDescent="0.25">
      <c r="A170" s="11">
        <v>35866</v>
      </c>
      <c r="B170" s="14" t="s">
        <v>187</v>
      </c>
      <c r="C170" s="14"/>
      <c r="D170" s="14"/>
      <c r="E170" s="1">
        <v>52</v>
      </c>
      <c r="G170" s="1">
        <v>41</v>
      </c>
      <c r="I170" s="1">
        <v>62</v>
      </c>
      <c r="P170" s="1">
        <v>14</v>
      </c>
      <c r="Q170" s="1">
        <v>5</v>
      </c>
      <c r="R170" s="1">
        <v>6</v>
      </c>
      <c r="S170" s="1">
        <v>11</v>
      </c>
    </row>
    <row r="171" spans="1:19" x14ac:dyDescent="0.25">
      <c r="A171" s="11">
        <v>35873</v>
      </c>
      <c r="B171" s="14" t="s">
        <v>188</v>
      </c>
      <c r="C171" s="14"/>
      <c r="D171" s="14"/>
      <c r="E171" s="1">
        <v>46</v>
      </c>
      <c r="G171" s="1">
        <v>45</v>
      </c>
      <c r="I171" s="1">
        <v>71</v>
      </c>
      <c r="P171" s="1">
        <v>8</v>
      </c>
      <c r="Q171" s="1">
        <v>12</v>
      </c>
      <c r="R171" s="1">
        <v>1</v>
      </c>
      <c r="S171" s="1">
        <v>12</v>
      </c>
    </row>
    <row r="172" spans="1:19" x14ac:dyDescent="0.25">
      <c r="A172" s="11">
        <v>35880</v>
      </c>
      <c r="B172" s="14" t="s">
        <v>189</v>
      </c>
      <c r="C172" s="14"/>
      <c r="D172" s="14"/>
      <c r="E172" s="1">
        <v>56</v>
      </c>
      <c r="G172" s="1">
        <v>46</v>
      </c>
      <c r="I172" s="1">
        <v>60</v>
      </c>
      <c r="P172" s="1">
        <v>7</v>
      </c>
      <c r="Q172" s="1">
        <v>10</v>
      </c>
      <c r="R172" s="1">
        <v>5</v>
      </c>
      <c r="S172" s="1">
        <v>13</v>
      </c>
    </row>
    <row r="173" spans="1:19" x14ac:dyDescent="0.25">
      <c r="A173" s="11">
        <v>35887</v>
      </c>
      <c r="B173" s="14" t="s">
        <v>190</v>
      </c>
      <c r="C173" s="14"/>
      <c r="D173" s="14"/>
      <c r="E173" s="1">
        <v>39</v>
      </c>
      <c r="G173" s="1">
        <v>50</v>
      </c>
      <c r="I173" s="1">
        <v>43</v>
      </c>
      <c r="P173" s="1">
        <v>12</v>
      </c>
      <c r="Q173" s="1">
        <v>11</v>
      </c>
      <c r="R173" s="1">
        <v>1</v>
      </c>
      <c r="S173" s="1">
        <v>14</v>
      </c>
    </row>
    <row r="174" spans="1:19" x14ac:dyDescent="0.25">
      <c r="A174" s="11">
        <v>35894</v>
      </c>
      <c r="B174" s="14" t="s">
        <v>191</v>
      </c>
      <c r="C174" s="14"/>
      <c r="D174" s="14"/>
      <c r="E174" s="1">
        <v>37</v>
      </c>
      <c r="G174" s="1">
        <v>40</v>
      </c>
      <c r="I174" s="1">
        <v>58</v>
      </c>
      <c r="P174" s="1">
        <v>7</v>
      </c>
      <c r="Q174" s="1">
        <v>8</v>
      </c>
      <c r="R174" s="1">
        <v>3</v>
      </c>
      <c r="S174" s="1">
        <v>15</v>
      </c>
    </row>
    <row r="175" spans="1:19" x14ac:dyDescent="0.25">
      <c r="A175" s="11">
        <v>35901</v>
      </c>
      <c r="B175" s="14" t="s">
        <v>192</v>
      </c>
      <c r="C175" s="14"/>
      <c r="D175" s="14"/>
      <c r="E175" s="1">
        <v>39</v>
      </c>
      <c r="G175" s="1">
        <v>43</v>
      </c>
      <c r="I175" s="1">
        <v>46</v>
      </c>
      <c r="P175" s="1">
        <v>11</v>
      </c>
      <c r="Q175" s="1">
        <v>7</v>
      </c>
      <c r="R175" s="1">
        <v>1</v>
      </c>
      <c r="S175" s="1">
        <v>16</v>
      </c>
    </row>
    <row r="176" spans="1:19" x14ac:dyDescent="0.25">
      <c r="A176" s="11">
        <v>35908</v>
      </c>
      <c r="B176" s="14" t="s">
        <v>193</v>
      </c>
      <c r="C176" s="14"/>
      <c r="D176" s="14"/>
      <c r="E176" s="1">
        <v>22</v>
      </c>
      <c r="G176" s="1">
        <v>45</v>
      </c>
      <c r="I176" s="1">
        <v>48</v>
      </c>
      <c r="M176" s="1">
        <v>19</v>
      </c>
      <c r="P176" s="1">
        <v>14</v>
      </c>
      <c r="Q176" s="1">
        <v>14</v>
      </c>
      <c r="R176" s="1">
        <v>0</v>
      </c>
      <c r="S176" s="1">
        <v>17</v>
      </c>
    </row>
    <row r="177" spans="1:19" x14ac:dyDescent="0.25">
      <c r="A177" s="11">
        <v>35915</v>
      </c>
      <c r="B177" s="14" t="s">
        <v>194</v>
      </c>
      <c r="C177" s="14"/>
      <c r="D177" s="14"/>
      <c r="E177" s="1">
        <v>19</v>
      </c>
      <c r="G177" s="1">
        <v>37</v>
      </c>
      <c r="I177" s="1">
        <v>61</v>
      </c>
      <c r="M177" s="1">
        <v>5</v>
      </c>
      <c r="P177" s="1">
        <v>10</v>
      </c>
      <c r="Q177" s="1">
        <v>13</v>
      </c>
      <c r="R177" s="1">
        <v>1</v>
      </c>
      <c r="S177" s="1">
        <v>18</v>
      </c>
    </row>
    <row r="178" spans="1:19" x14ac:dyDescent="0.25">
      <c r="A178" s="11">
        <v>35922</v>
      </c>
      <c r="B178" s="14" t="s">
        <v>195</v>
      </c>
      <c r="C178" s="14"/>
      <c r="D178" s="14"/>
      <c r="E178" s="1">
        <v>24</v>
      </c>
      <c r="G178" s="1">
        <v>35</v>
      </c>
      <c r="I178" s="1">
        <v>45</v>
      </c>
      <c r="M178" s="1">
        <v>7</v>
      </c>
      <c r="P178" s="1">
        <v>6</v>
      </c>
      <c r="Q178" s="1">
        <v>10</v>
      </c>
      <c r="R178" s="1">
        <v>1</v>
      </c>
      <c r="S178" s="1">
        <v>19</v>
      </c>
    </row>
    <row r="179" spans="1:19" x14ac:dyDescent="0.25">
      <c r="A179" s="11">
        <v>35929</v>
      </c>
      <c r="B179" s="14" t="s">
        <v>196</v>
      </c>
      <c r="C179" s="14"/>
      <c r="D179" s="14"/>
      <c r="E179" s="1">
        <v>33</v>
      </c>
      <c r="G179" s="1">
        <v>42</v>
      </c>
      <c r="I179" s="1">
        <v>50</v>
      </c>
      <c r="M179" s="1">
        <v>13</v>
      </c>
      <c r="P179" s="1">
        <v>8</v>
      </c>
      <c r="Q179" s="1">
        <v>10</v>
      </c>
      <c r="R179" s="1">
        <v>1</v>
      </c>
      <c r="S179" s="1">
        <v>20</v>
      </c>
    </row>
    <row r="180" spans="1:19" x14ac:dyDescent="0.25">
      <c r="A180" s="11">
        <v>35936</v>
      </c>
      <c r="B180" s="14" t="s">
        <v>197</v>
      </c>
      <c r="C180" s="14"/>
      <c r="D180" s="14"/>
      <c r="E180" s="1">
        <v>26</v>
      </c>
      <c r="G180" s="1">
        <v>45</v>
      </c>
      <c r="I180" s="1">
        <v>40</v>
      </c>
      <c r="M180" s="1">
        <v>10</v>
      </c>
      <c r="P180" s="1">
        <v>7</v>
      </c>
      <c r="Q180" s="1">
        <v>6</v>
      </c>
      <c r="R180" s="1">
        <v>3</v>
      </c>
      <c r="S180" s="1">
        <v>21</v>
      </c>
    </row>
    <row r="181" spans="1:19" x14ac:dyDescent="0.25">
      <c r="A181" s="12">
        <v>35943</v>
      </c>
      <c r="B181" s="14" t="s">
        <v>198</v>
      </c>
      <c r="C181" s="14"/>
      <c r="D181" s="14"/>
      <c r="E181" s="1">
        <v>28</v>
      </c>
      <c r="G181" s="1">
        <v>37</v>
      </c>
      <c r="I181" s="1">
        <v>47</v>
      </c>
      <c r="M181" s="1">
        <v>7</v>
      </c>
      <c r="P181" s="1">
        <v>9</v>
      </c>
      <c r="Q181" s="1">
        <v>12</v>
      </c>
      <c r="R181" s="1">
        <v>0</v>
      </c>
      <c r="S181" s="1">
        <v>22</v>
      </c>
    </row>
    <row r="182" spans="1:19" x14ac:dyDescent="0.25">
      <c r="A182" s="12">
        <v>35950</v>
      </c>
      <c r="B182" s="14" t="s">
        <v>199</v>
      </c>
      <c r="C182" s="14"/>
      <c r="D182" s="14"/>
      <c r="E182" s="1">
        <v>22</v>
      </c>
      <c r="G182" s="1">
        <v>48</v>
      </c>
      <c r="I182" s="1">
        <v>50</v>
      </c>
      <c r="M182" s="1">
        <v>7</v>
      </c>
      <c r="P182" s="1">
        <v>1</v>
      </c>
      <c r="Q182" s="1">
        <v>10</v>
      </c>
      <c r="R182" s="1">
        <v>3</v>
      </c>
      <c r="S182" s="1">
        <v>23</v>
      </c>
    </row>
    <row r="183" spans="1:19" x14ac:dyDescent="0.25">
      <c r="A183" s="12">
        <v>35957</v>
      </c>
      <c r="B183" s="14" t="s">
        <v>200</v>
      </c>
      <c r="C183" s="14"/>
      <c r="D183" s="14"/>
      <c r="E183" s="1">
        <v>26</v>
      </c>
      <c r="G183" s="1">
        <v>38</v>
      </c>
      <c r="I183" s="1">
        <v>50</v>
      </c>
      <c r="M183" s="1">
        <v>7</v>
      </c>
      <c r="P183" s="1">
        <v>3</v>
      </c>
      <c r="Q183" s="1">
        <v>6</v>
      </c>
      <c r="R183" s="1">
        <v>1</v>
      </c>
      <c r="S183" s="1">
        <v>24</v>
      </c>
    </row>
    <row r="184" spans="1:19" x14ac:dyDescent="0.25">
      <c r="A184" s="12">
        <v>35964</v>
      </c>
      <c r="B184" s="14" t="s">
        <v>201</v>
      </c>
      <c r="C184" s="14"/>
      <c r="D184" s="14"/>
      <c r="E184" s="1">
        <v>23</v>
      </c>
      <c r="G184" s="1">
        <v>49</v>
      </c>
      <c r="I184" s="1">
        <v>56</v>
      </c>
      <c r="M184" s="1">
        <v>7</v>
      </c>
      <c r="P184" s="1">
        <v>5</v>
      </c>
      <c r="Q184" s="1">
        <v>3</v>
      </c>
      <c r="R184" s="1">
        <v>5</v>
      </c>
      <c r="S184" s="1">
        <v>25</v>
      </c>
    </row>
    <row r="185" spans="1:19" x14ac:dyDescent="0.25">
      <c r="A185" s="12">
        <v>35971</v>
      </c>
      <c r="B185" s="14" t="s">
        <v>202</v>
      </c>
      <c r="C185" s="14"/>
      <c r="D185" s="14"/>
      <c r="E185" s="1">
        <v>27</v>
      </c>
      <c r="G185" s="1">
        <v>40</v>
      </c>
      <c r="I185" s="1">
        <v>59</v>
      </c>
      <c r="M185" s="1">
        <v>7</v>
      </c>
      <c r="P185" s="1">
        <v>10</v>
      </c>
      <c r="Q185" s="1">
        <v>5</v>
      </c>
      <c r="R185" s="1">
        <v>5</v>
      </c>
      <c r="S185" s="1">
        <v>26</v>
      </c>
    </row>
    <row r="186" spans="1:19" x14ac:dyDescent="0.25">
      <c r="A186" s="12">
        <v>35978</v>
      </c>
      <c r="B186" s="14" t="s">
        <v>203</v>
      </c>
      <c r="C186" s="14"/>
      <c r="D186" s="14"/>
      <c r="E186" s="1">
        <v>29</v>
      </c>
      <c r="G186" s="1">
        <v>47</v>
      </c>
      <c r="I186" s="1">
        <v>58</v>
      </c>
      <c r="M186" s="1">
        <v>6</v>
      </c>
      <c r="P186" s="1">
        <v>4</v>
      </c>
      <c r="Q186" s="1">
        <v>9</v>
      </c>
      <c r="R186" s="1">
        <v>2</v>
      </c>
      <c r="S186" s="1">
        <v>27</v>
      </c>
    </row>
    <row r="187" spans="1:19" x14ac:dyDescent="0.25">
      <c r="A187" s="12">
        <v>35985</v>
      </c>
      <c r="B187" s="14" t="s">
        <v>204</v>
      </c>
      <c r="C187" s="14"/>
      <c r="D187" s="14"/>
      <c r="E187" s="1">
        <v>30</v>
      </c>
      <c r="G187" s="1">
        <v>46</v>
      </c>
      <c r="I187" s="1">
        <v>55</v>
      </c>
      <c r="M187" s="1">
        <v>6</v>
      </c>
      <c r="P187" s="1">
        <v>6</v>
      </c>
      <c r="Q187" s="1">
        <v>7</v>
      </c>
      <c r="R187" s="1">
        <v>2</v>
      </c>
      <c r="S187" s="1">
        <v>28</v>
      </c>
    </row>
    <row r="188" spans="1:19" x14ac:dyDescent="0.25">
      <c r="A188" s="12">
        <v>35992</v>
      </c>
      <c r="B188" s="14" t="s">
        <v>205</v>
      </c>
      <c r="C188" s="14"/>
      <c r="D188" s="14"/>
      <c r="E188" s="1">
        <v>37</v>
      </c>
      <c r="G188" s="1">
        <v>44</v>
      </c>
      <c r="I188" s="1">
        <v>50</v>
      </c>
      <c r="M188" s="1">
        <v>6</v>
      </c>
      <c r="P188" s="1">
        <v>8</v>
      </c>
      <c r="Q188" s="1">
        <v>7</v>
      </c>
      <c r="R188" s="1">
        <v>1</v>
      </c>
      <c r="S188" s="1">
        <v>29</v>
      </c>
    </row>
    <row r="189" spans="1:19" x14ac:dyDescent="0.25">
      <c r="A189" s="12">
        <v>35999</v>
      </c>
      <c r="B189" s="14" t="s">
        <v>206</v>
      </c>
      <c r="C189" s="14"/>
      <c r="D189" s="14"/>
      <c r="E189" s="1">
        <v>25</v>
      </c>
      <c r="G189" s="1">
        <v>45</v>
      </c>
      <c r="I189" s="1">
        <v>50</v>
      </c>
      <c r="M189" s="1">
        <v>6</v>
      </c>
      <c r="P189" s="1">
        <v>11</v>
      </c>
      <c r="Q189" s="1">
        <v>7</v>
      </c>
      <c r="R189" s="1">
        <v>7</v>
      </c>
      <c r="S189" s="1">
        <v>30</v>
      </c>
    </row>
    <row r="190" spans="1:19" x14ac:dyDescent="0.25">
      <c r="A190" s="12">
        <v>36006</v>
      </c>
      <c r="B190" s="14" t="s">
        <v>207</v>
      </c>
      <c r="C190" s="14"/>
      <c r="D190" s="14"/>
      <c r="E190" s="1">
        <v>29</v>
      </c>
      <c r="G190" s="1">
        <v>43</v>
      </c>
      <c r="I190" s="1">
        <v>42</v>
      </c>
      <c r="M190" s="1">
        <v>6</v>
      </c>
      <c r="P190" s="1">
        <v>6</v>
      </c>
      <c r="Q190" s="1">
        <v>13</v>
      </c>
      <c r="R190" s="1">
        <v>0</v>
      </c>
      <c r="S190" s="1">
        <v>31</v>
      </c>
    </row>
    <row r="191" spans="1:19" x14ac:dyDescent="0.25">
      <c r="A191" s="12">
        <v>36013</v>
      </c>
      <c r="B191" s="14" t="s">
        <v>208</v>
      </c>
      <c r="C191" s="14"/>
      <c r="D191" s="14"/>
      <c r="E191" s="1">
        <v>35</v>
      </c>
      <c r="G191" s="1">
        <v>54</v>
      </c>
      <c r="I191" s="1">
        <v>59</v>
      </c>
      <c r="M191" s="1">
        <v>10</v>
      </c>
      <c r="P191" s="1">
        <v>3</v>
      </c>
      <c r="Q191" s="1">
        <v>5</v>
      </c>
      <c r="R191" s="1">
        <v>2</v>
      </c>
      <c r="S191" s="1">
        <v>32</v>
      </c>
    </row>
    <row r="192" spans="1:19" x14ac:dyDescent="0.25">
      <c r="A192" s="12">
        <v>36020</v>
      </c>
      <c r="B192" s="14" t="s">
        <v>209</v>
      </c>
      <c r="C192" s="14"/>
      <c r="D192" s="14"/>
      <c r="E192" s="1">
        <v>29</v>
      </c>
      <c r="G192" s="1">
        <v>49</v>
      </c>
      <c r="I192" s="1">
        <v>58</v>
      </c>
      <c r="M192" s="1">
        <v>13</v>
      </c>
      <c r="P192" s="1">
        <v>4</v>
      </c>
      <c r="Q192" s="1">
        <v>6</v>
      </c>
      <c r="R192" s="1">
        <v>0</v>
      </c>
      <c r="S192" s="1">
        <v>33</v>
      </c>
    </row>
    <row r="193" spans="1:19" x14ac:dyDescent="0.25">
      <c r="A193" s="12">
        <v>36027</v>
      </c>
      <c r="B193" s="14" t="s">
        <v>210</v>
      </c>
      <c r="C193" s="14"/>
      <c r="D193" s="14"/>
      <c r="E193" s="1">
        <v>38</v>
      </c>
      <c r="G193" s="1">
        <v>53</v>
      </c>
      <c r="I193" s="1">
        <v>49</v>
      </c>
      <c r="M193" s="1">
        <v>11</v>
      </c>
      <c r="P193" s="1">
        <v>10</v>
      </c>
      <c r="Q193" s="1">
        <v>7</v>
      </c>
      <c r="R193" s="1">
        <v>5</v>
      </c>
      <c r="S193" s="1">
        <v>34</v>
      </c>
    </row>
    <row r="194" spans="1:19" x14ac:dyDescent="0.25">
      <c r="A194" s="12">
        <v>36034</v>
      </c>
      <c r="B194" s="14" t="s">
        <v>211</v>
      </c>
      <c r="C194" s="14"/>
      <c r="D194" s="14"/>
      <c r="E194" s="1">
        <v>31</v>
      </c>
      <c r="G194" s="1">
        <v>48</v>
      </c>
      <c r="I194" s="1">
        <v>60</v>
      </c>
      <c r="M194" s="1">
        <v>8</v>
      </c>
      <c r="P194" s="1">
        <v>14</v>
      </c>
      <c r="Q194" s="1">
        <v>12</v>
      </c>
      <c r="R194" s="1">
        <v>0</v>
      </c>
      <c r="S194" s="1">
        <v>35</v>
      </c>
    </row>
    <row r="195" spans="1:19" x14ac:dyDescent="0.25">
      <c r="A195" s="12">
        <v>36041</v>
      </c>
      <c r="B195" s="14" t="s">
        <v>212</v>
      </c>
      <c r="C195" s="14"/>
      <c r="D195" s="14"/>
      <c r="E195" s="1">
        <v>29</v>
      </c>
      <c r="G195" s="1">
        <v>50</v>
      </c>
      <c r="I195" s="1">
        <v>67</v>
      </c>
      <c r="M195" s="1">
        <v>8</v>
      </c>
      <c r="P195" s="1">
        <v>9</v>
      </c>
      <c r="Q195" s="1">
        <v>12</v>
      </c>
      <c r="R195" s="1">
        <v>2</v>
      </c>
      <c r="S195" s="1">
        <v>36</v>
      </c>
    </row>
    <row r="196" spans="1:19" x14ac:dyDescent="0.25">
      <c r="A196" s="12">
        <v>36048</v>
      </c>
      <c r="B196" s="14" t="s">
        <v>213</v>
      </c>
      <c r="C196" s="14"/>
      <c r="D196" s="14"/>
      <c r="E196" s="1">
        <v>41</v>
      </c>
      <c r="G196" s="1">
        <v>46</v>
      </c>
      <c r="I196" s="1">
        <v>53</v>
      </c>
      <c r="M196" s="1">
        <v>9</v>
      </c>
      <c r="P196" s="1">
        <v>8</v>
      </c>
      <c r="Q196" s="1">
        <v>7</v>
      </c>
      <c r="R196" s="1">
        <v>5</v>
      </c>
      <c r="S196" s="1">
        <v>37</v>
      </c>
    </row>
    <row r="197" spans="1:19" x14ac:dyDescent="0.25">
      <c r="A197" s="12">
        <v>36055</v>
      </c>
      <c r="B197" s="14" t="s">
        <v>214</v>
      </c>
      <c r="C197" s="14"/>
      <c r="D197" s="14"/>
      <c r="E197" s="1">
        <v>49</v>
      </c>
      <c r="G197" s="1">
        <v>42</v>
      </c>
      <c r="I197" s="1">
        <v>59</v>
      </c>
      <c r="M197" s="1">
        <v>12</v>
      </c>
      <c r="P197" s="1">
        <v>8</v>
      </c>
      <c r="Q197" s="1">
        <v>11</v>
      </c>
      <c r="R197" s="1">
        <v>4</v>
      </c>
      <c r="S197" s="1">
        <v>38</v>
      </c>
    </row>
    <row r="198" spans="1:19" x14ac:dyDescent="0.25">
      <c r="A198" s="12">
        <v>36062</v>
      </c>
      <c r="B198" s="14" t="s">
        <v>215</v>
      </c>
      <c r="C198" s="14"/>
      <c r="D198" s="14"/>
      <c r="E198" s="1">
        <v>45</v>
      </c>
      <c r="G198" s="1">
        <v>51</v>
      </c>
      <c r="I198" s="1">
        <v>64</v>
      </c>
      <c r="M198" s="1">
        <v>10</v>
      </c>
      <c r="P198" s="1">
        <v>5</v>
      </c>
      <c r="Q198" s="1">
        <v>14</v>
      </c>
      <c r="R198" s="1">
        <v>5</v>
      </c>
      <c r="S198" s="1">
        <v>39</v>
      </c>
    </row>
    <row r="199" spans="1:19" x14ac:dyDescent="0.25">
      <c r="A199" s="12">
        <v>36069</v>
      </c>
      <c r="B199" s="14" t="s">
        <v>216</v>
      </c>
      <c r="C199" s="14"/>
      <c r="D199" s="14"/>
      <c r="E199" s="1">
        <v>48</v>
      </c>
      <c r="G199" s="1">
        <v>34</v>
      </c>
      <c r="I199" s="1">
        <v>58</v>
      </c>
      <c r="M199" s="1">
        <v>7</v>
      </c>
      <c r="P199" s="1">
        <v>8</v>
      </c>
      <c r="Q199" s="1">
        <v>6</v>
      </c>
      <c r="R199" s="1">
        <v>2</v>
      </c>
      <c r="S199" s="1">
        <v>40</v>
      </c>
    </row>
    <row r="200" spans="1:19" x14ac:dyDescent="0.25">
      <c r="A200" s="12">
        <v>36076</v>
      </c>
      <c r="B200" s="14" t="s">
        <v>217</v>
      </c>
      <c r="C200" s="14"/>
      <c r="D200" s="14"/>
      <c r="E200" s="1">
        <v>54</v>
      </c>
      <c r="G200" s="1">
        <v>46</v>
      </c>
      <c r="I200" s="1">
        <v>71</v>
      </c>
      <c r="M200" s="1">
        <v>7</v>
      </c>
      <c r="P200" s="1">
        <v>7</v>
      </c>
      <c r="Q200" s="1">
        <v>12</v>
      </c>
      <c r="R200" s="1">
        <v>7</v>
      </c>
      <c r="S200" s="1">
        <v>41</v>
      </c>
    </row>
    <row r="201" spans="1:19" x14ac:dyDescent="0.25">
      <c r="A201" s="12">
        <v>36083</v>
      </c>
      <c r="B201" s="14" t="s">
        <v>218</v>
      </c>
      <c r="C201" s="14"/>
      <c r="D201" s="14"/>
      <c r="E201" s="1">
        <v>46</v>
      </c>
      <c r="G201" s="1">
        <v>54</v>
      </c>
      <c r="I201" s="1">
        <v>77</v>
      </c>
      <c r="M201" s="1">
        <v>17</v>
      </c>
      <c r="P201" s="1">
        <v>7</v>
      </c>
      <c r="Q201" s="1">
        <v>10</v>
      </c>
      <c r="R201" s="1">
        <v>10</v>
      </c>
      <c r="S201" s="1">
        <v>42</v>
      </c>
    </row>
    <row r="202" spans="1:19" x14ac:dyDescent="0.25">
      <c r="A202" s="12">
        <v>36090</v>
      </c>
      <c r="B202" s="14" t="s">
        <v>219</v>
      </c>
      <c r="C202" s="14"/>
      <c r="D202" s="14"/>
      <c r="E202" s="1">
        <v>60</v>
      </c>
      <c r="G202" s="1">
        <v>52</v>
      </c>
      <c r="I202" s="1">
        <v>81</v>
      </c>
      <c r="M202" s="1">
        <v>12</v>
      </c>
      <c r="P202" s="1">
        <v>14</v>
      </c>
      <c r="Q202" s="1">
        <v>6</v>
      </c>
      <c r="R202" s="1">
        <v>1</v>
      </c>
      <c r="S202" s="1">
        <v>43</v>
      </c>
    </row>
    <row r="203" spans="1:19" x14ac:dyDescent="0.25">
      <c r="A203" s="12">
        <v>36097</v>
      </c>
      <c r="B203" s="14" t="s">
        <v>220</v>
      </c>
      <c r="C203" s="14"/>
      <c r="D203" s="14"/>
      <c r="E203" s="1">
        <v>61</v>
      </c>
      <c r="G203" s="1">
        <v>55</v>
      </c>
      <c r="I203" s="1">
        <v>93</v>
      </c>
      <c r="M203" s="1">
        <v>9</v>
      </c>
      <c r="P203" s="1">
        <v>11</v>
      </c>
      <c r="Q203" s="1">
        <v>13</v>
      </c>
      <c r="R203" s="1">
        <v>8</v>
      </c>
      <c r="S203" s="1">
        <v>44</v>
      </c>
    </row>
    <row r="204" spans="1:19" x14ac:dyDescent="0.25">
      <c r="A204" s="12">
        <v>36104</v>
      </c>
      <c r="B204" s="14" t="s">
        <v>221</v>
      </c>
      <c r="C204" s="14"/>
      <c r="D204" s="14"/>
      <c r="E204" s="1">
        <v>53</v>
      </c>
      <c r="G204" s="1">
        <v>59</v>
      </c>
      <c r="I204" s="1">
        <v>68</v>
      </c>
      <c r="M204" s="1">
        <v>13</v>
      </c>
      <c r="P204" s="1">
        <v>13</v>
      </c>
      <c r="Q204" s="1">
        <v>10</v>
      </c>
      <c r="R204" s="1">
        <v>0</v>
      </c>
      <c r="S204" s="1">
        <v>45</v>
      </c>
    </row>
    <row r="205" spans="1:19" x14ac:dyDescent="0.25">
      <c r="A205" s="12">
        <v>36111</v>
      </c>
      <c r="B205" s="14" t="s">
        <v>222</v>
      </c>
      <c r="C205" s="14"/>
      <c r="D205" s="14"/>
      <c r="E205" s="1">
        <v>47</v>
      </c>
      <c r="G205" s="1">
        <v>62</v>
      </c>
      <c r="I205" s="1">
        <v>66</v>
      </c>
      <c r="M205" s="1">
        <v>15</v>
      </c>
      <c r="P205" s="1">
        <v>18</v>
      </c>
      <c r="Q205" s="1">
        <v>9</v>
      </c>
      <c r="R205" s="1">
        <v>2</v>
      </c>
      <c r="S205" s="1">
        <v>46</v>
      </c>
    </row>
    <row r="206" spans="1:19" x14ac:dyDescent="0.25">
      <c r="A206" s="12">
        <v>36118</v>
      </c>
      <c r="B206" s="14" t="s">
        <v>223</v>
      </c>
      <c r="C206" s="14"/>
      <c r="D206" s="14"/>
      <c r="E206" s="1">
        <v>39</v>
      </c>
      <c r="G206" s="1">
        <v>55</v>
      </c>
      <c r="I206" s="1">
        <v>76</v>
      </c>
      <c r="M206" s="1">
        <v>13</v>
      </c>
      <c r="P206" s="1">
        <v>19</v>
      </c>
      <c r="Q206" s="1">
        <v>11</v>
      </c>
      <c r="R206" s="1">
        <v>1</v>
      </c>
      <c r="S206" s="1">
        <v>47</v>
      </c>
    </row>
    <row r="207" spans="1:19" x14ac:dyDescent="0.25">
      <c r="A207" s="12">
        <v>36125</v>
      </c>
      <c r="B207" s="14" t="s">
        <v>224</v>
      </c>
      <c r="C207" s="14"/>
      <c r="D207" s="14"/>
      <c r="E207" s="1">
        <v>42</v>
      </c>
      <c r="G207" s="1">
        <v>55</v>
      </c>
      <c r="I207" s="1">
        <v>74</v>
      </c>
      <c r="M207" s="1">
        <v>17</v>
      </c>
      <c r="P207" s="1">
        <v>16</v>
      </c>
      <c r="Q207" s="1">
        <v>11</v>
      </c>
      <c r="R207" s="1">
        <v>3</v>
      </c>
      <c r="S207" s="1">
        <v>48</v>
      </c>
    </row>
    <row r="208" spans="1:19" x14ac:dyDescent="0.25">
      <c r="A208" s="12">
        <v>36132</v>
      </c>
      <c r="B208" s="14" t="s">
        <v>225</v>
      </c>
      <c r="C208" s="14"/>
      <c r="D208" s="14"/>
      <c r="E208" s="1">
        <v>49</v>
      </c>
      <c r="G208" s="1">
        <v>51</v>
      </c>
      <c r="I208" s="1">
        <v>83</v>
      </c>
      <c r="M208" s="1">
        <v>15</v>
      </c>
      <c r="P208" s="1">
        <v>10</v>
      </c>
      <c r="Q208" s="1">
        <v>12</v>
      </c>
      <c r="R208" s="1">
        <v>1</v>
      </c>
      <c r="S208" s="1">
        <v>49</v>
      </c>
    </row>
    <row r="209" spans="1:19" x14ac:dyDescent="0.25">
      <c r="A209" s="12">
        <v>36139</v>
      </c>
      <c r="B209" s="14" t="s">
        <v>226</v>
      </c>
      <c r="C209" s="14"/>
      <c r="D209" s="14"/>
      <c r="E209" s="1">
        <v>43</v>
      </c>
      <c r="G209" s="1">
        <v>53</v>
      </c>
      <c r="I209" s="1">
        <v>80</v>
      </c>
      <c r="M209" s="1">
        <v>12</v>
      </c>
      <c r="P209" s="1">
        <v>5</v>
      </c>
      <c r="Q209" s="1">
        <v>11</v>
      </c>
      <c r="R209" s="1">
        <v>4</v>
      </c>
      <c r="S209" s="1">
        <v>50</v>
      </c>
    </row>
    <row r="210" spans="1:19" x14ac:dyDescent="0.25">
      <c r="A210" s="12">
        <v>36146</v>
      </c>
      <c r="B210" s="14" t="s">
        <v>227</v>
      </c>
      <c r="C210" s="14"/>
      <c r="D210" s="14"/>
      <c r="E210" s="1">
        <v>44</v>
      </c>
      <c r="G210" s="1">
        <v>64</v>
      </c>
      <c r="I210" s="1">
        <v>71</v>
      </c>
      <c r="M210" s="1">
        <v>10</v>
      </c>
      <c r="P210" s="1">
        <v>12</v>
      </c>
      <c r="Q210" s="1">
        <v>3</v>
      </c>
      <c r="R210" s="1">
        <v>0</v>
      </c>
      <c r="S210" s="1">
        <v>51</v>
      </c>
    </row>
    <row r="211" spans="1:19" x14ac:dyDescent="0.25">
      <c r="A211" s="12">
        <v>36153</v>
      </c>
      <c r="B211" s="14" t="s">
        <v>228</v>
      </c>
      <c r="C211" s="14"/>
      <c r="D211" s="14"/>
      <c r="E211" s="1">
        <v>19</v>
      </c>
      <c r="G211" s="1">
        <v>56</v>
      </c>
      <c r="I211" s="1">
        <v>42</v>
      </c>
      <c r="M211" s="1">
        <v>14</v>
      </c>
      <c r="P211" s="1">
        <v>14</v>
      </c>
      <c r="Q211" s="1">
        <v>4</v>
      </c>
      <c r="R211" s="1">
        <v>3</v>
      </c>
      <c r="S211" s="1">
        <v>52</v>
      </c>
    </row>
    <row r="212" spans="1:19" x14ac:dyDescent="0.25">
      <c r="A212" s="12">
        <v>36160</v>
      </c>
      <c r="B212" s="14" t="s">
        <v>229</v>
      </c>
      <c r="C212" s="14"/>
      <c r="D212" s="14"/>
      <c r="E212" s="1">
        <v>30</v>
      </c>
      <c r="G212" s="1">
        <v>48</v>
      </c>
      <c r="I212" s="1">
        <v>55</v>
      </c>
      <c r="M212" s="1">
        <v>12</v>
      </c>
      <c r="P212" s="1">
        <v>15</v>
      </c>
      <c r="Q212" s="1">
        <v>6</v>
      </c>
      <c r="R212" s="1">
        <v>5</v>
      </c>
      <c r="S212" s="1">
        <v>53</v>
      </c>
    </row>
    <row r="213" spans="1:19" x14ac:dyDescent="0.25">
      <c r="A213" s="12">
        <v>36167</v>
      </c>
      <c r="B213" s="14" t="s">
        <v>230</v>
      </c>
      <c r="C213" s="14"/>
      <c r="D213" s="14"/>
      <c r="E213" s="1">
        <v>41</v>
      </c>
      <c r="F213" s="1">
        <f t="shared" ref="F213:J276" si="0">AVERAGE(E161,E109,E57,E5)</f>
        <v>40.25</v>
      </c>
      <c r="G213" s="1">
        <v>41</v>
      </c>
      <c r="H213" s="1">
        <f t="shared" si="0"/>
        <v>52.25</v>
      </c>
      <c r="I213" s="1">
        <v>76</v>
      </c>
      <c r="J213" s="1">
        <f t="shared" si="0"/>
        <v>74.5</v>
      </c>
      <c r="M213" s="1">
        <v>11</v>
      </c>
      <c r="P213" s="1">
        <v>16</v>
      </c>
      <c r="Q213" s="1">
        <v>8</v>
      </c>
      <c r="R213" s="1">
        <v>7</v>
      </c>
      <c r="S213" s="1">
        <v>1</v>
      </c>
    </row>
    <row r="214" spans="1:19" x14ac:dyDescent="0.25">
      <c r="A214" s="12">
        <v>36174</v>
      </c>
      <c r="B214" s="14" t="s">
        <v>231</v>
      </c>
      <c r="C214" s="14"/>
      <c r="D214" s="14"/>
      <c r="E214" s="1">
        <v>36</v>
      </c>
      <c r="F214" s="1">
        <f t="shared" si="0"/>
        <v>42.75</v>
      </c>
      <c r="G214" s="1">
        <v>53</v>
      </c>
      <c r="H214" s="1">
        <f t="shared" si="0"/>
        <v>53.5</v>
      </c>
      <c r="I214" s="1">
        <v>67</v>
      </c>
      <c r="J214" s="1">
        <f t="shared" si="0"/>
        <v>76.25</v>
      </c>
      <c r="M214" s="1">
        <v>14</v>
      </c>
      <c r="P214" s="1">
        <v>18</v>
      </c>
      <c r="Q214" s="1">
        <v>13</v>
      </c>
      <c r="R214" s="1">
        <v>3</v>
      </c>
      <c r="S214" s="1">
        <v>2</v>
      </c>
    </row>
    <row r="215" spans="1:19" x14ac:dyDescent="0.25">
      <c r="A215" s="12">
        <v>36181</v>
      </c>
      <c r="B215" s="14" t="s">
        <v>232</v>
      </c>
      <c r="C215" s="14"/>
      <c r="D215" s="14"/>
      <c r="E215" s="1">
        <v>42</v>
      </c>
      <c r="F215" s="1">
        <f t="shared" si="0"/>
        <v>44</v>
      </c>
      <c r="G215" s="1">
        <v>41</v>
      </c>
      <c r="H215" s="1">
        <f t="shared" si="0"/>
        <v>55.25</v>
      </c>
      <c r="I215" s="1">
        <v>55</v>
      </c>
      <c r="J215" s="1">
        <f t="shared" si="0"/>
        <v>71</v>
      </c>
      <c r="M215" s="1">
        <v>12</v>
      </c>
      <c r="P215" s="1">
        <v>15</v>
      </c>
      <c r="Q215" s="1">
        <v>11</v>
      </c>
      <c r="R215" s="1">
        <v>2</v>
      </c>
      <c r="S215" s="1">
        <v>3</v>
      </c>
    </row>
    <row r="216" spans="1:19" x14ac:dyDescent="0.25">
      <c r="A216" s="12">
        <v>36188</v>
      </c>
      <c r="B216" s="14" t="s">
        <v>233</v>
      </c>
      <c r="C216" s="14"/>
      <c r="D216" s="14"/>
      <c r="E216" s="1">
        <v>40</v>
      </c>
      <c r="F216" s="1">
        <f t="shared" si="0"/>
        <v>43.25</v>
      </c>
      <c r="G216" s="1">
        <v>49</v>
      </c>
      <c r="H216" s="1">
        <f t="shared" si="0"/>
        <v>51.25</v>
      </c>
      <c r="I216" s="1">
        <v>62</v>
      </c>
      <c r="J216" s="1">
        <f t="shared" si="0"/>
        <v>75</v>
      </c>
      <c r="M216" s="1">
        <v>11</v>
      </c>
      <c r="P216" s="1">
        <v>14</v>
      </c>
      <c r="Q216" s="1">
        <v>11</v>
      </c>
      <c r="R216" s="1">
        <v>2</v>
      </c>
      <c r="S216" s="1">
        <v>4</v>
      </c>
    </row>
    <row r="217" spans="1:19" x14ac:dyDescent="0.25">
      <c r="A217" s="12">
        <v>36195</v>
      </c>
      <c r="B217" s="14" t="s">
        <v>234</v>
      </c>
      <c r="C217" s="14"/>
      <c r="D217" s="14"/>
      <c r="E217" s="1">
        <v>39</v>
      </c>
      <c r="F217" s="1">
        <f t="shared" si="0"/>
        <v>46.5</v>
      </c>
      <c r="G217" s="1">
        <v>50</v>
      </c>
      <c r="H217" s="1">
        <f t="shared" si="0"/>
        <v>53.25</v>
      </c>
      <c r="I217" s="1">
        <v>63</v>
      </c>
      <c r="J217" s="1">
        <f t="shared" si="0"/>
        <v>76</v>
      </c>
      <c r="M217" s="1">
        <v>11</v>
      </c>
      <c r="P217" s="1">
        <v>12</v>
      </c>
      <c r="Q217" s="1">
        <v>9</v>
      </c>
      <c r="R217" s="1">
        <v>9</v>
      </c>
      <c r="S217" s="1">
        <v>5</v>
      </c>
    </row>
    <row r="218" spans="1:19" x14ac:dyDescent="0.25">
      <c r="A218" s="12">
        <v>36202</v>
      </c>
      <c r="B218" s="14" t="s">
        <v>235</v>
      </c>
      <c r="C218" s="14"/>
      <c r="D218" s="14"/>
      <c r="E218" s="1">
        <v>45</v>
      </c>
      <c r="F218" s="1">
        <f t="shared" si="0"/>
        <v>52</v>
      </c>
      <c r="G218" s="1">
        <v>54</v>
      </c>
      <c r="H218" s="1">
        <f t="shared" si="0"/>
        <v>51</v>
      </c>
      <c r="I218" s="1">
        <v>73</v>
      </c>
      <c r="J218" s="1">
        <f t="shared" si="0"/>
        <v>66.333333333333329</v>
      </c>
      <c r="M218" s="1">
        <v>9</v>
      </c>
      <c r="P218" s="1">
        <v>16</v>
      </c>
      <c r="Q218" s="1">
        <v>7</v>
      </c>
      <c r="R218" s="1">
        <v>4</v>
      </c>
      <c r="S218" s="1">
        <v>6</v>
      </c>
    </row>
    <row r="219" spans="1:19" x14ac:dyDescent="0.25">
      <c r="A219" s="12">
        <v>36209</v>
      </c>
      <c r="B219" s="14" t="s">
        <v>236</v>
      </c>
      <c r="C219" s="14"/>
      <c r="D219" s="14"/>
      <c r="E219" s="1">
        <v>47</v>
      </c>
      <c r="F219" s="1">
        <f t="shared" si="0"/>
        <v>44.5</v>
      </c>
      <c r="G219" s="1">
        <v>51</v>
      </c>
      <c r="H219" s="1">
        <f t="shared" si="0"/>
        <v>57</v>
      </c>
      <c r="I219" s="1">
        <v>71</v>
      </c>
      <c r="J219" s="1">
        <f t="shared" si="0"/>
        <v>66.75</v>
      </c>
      <c r="M219" s="1">
        <v>13</v>
      </c>
      <c r="P219" s="1">
        <v>13</v>
      </c>
      <c r="Q219" s="1">
        <v>9</v>
      </c>
      <c r="R219" s="1">
        <v>3</v>
      </c>
      <c r="S219" s="1">
        <v>7</v>
      </c>
    </row>
    <row r="220" spans="1:19" x14ac:dyDescent="0.25">
      <c r="A220" s="12">
        <v>36216</v>
      </c>
      <c r="B220" s="14" t="s">
        <v>237</v>
      </c>
      <c r="C220" s="14"/>
      <c r="D220" s="14"/>
      <c r="E220" s="1">
        <v>46</v>
      </c>
      <c r="F220" s="1">
        <f t="shared" si="0"/>
        <v>44</v>
      </c>
      <c r="G220" s="1">
        <v>64</v>
      </c>
      <c r="H220" s="1">
        <f t="shared" si="0"/>
        <v>52</v>
      </c>
      <c r="I220" s="1">
        <v>61</v>
      </c>
      <c r="J220" s="1">
        <f t="shared" si="0"/>
        <v>63.25</v>
      </c>
      <c r="M220" s="1">
        <v>16</v>
      </c>
      <c r="P220" s="1">
        <v>14</v>
      </c>
      <c r="Q220" s="1">
        <v>10</v>
      </c>
      <c r="R220" s="1">
        <v>4</v>
      </c>
      <c r="S220" s="1">
        <v>8</v>
      </c>
    </row>
    <row r="221" spans="1:19" x14ac:dyDescent="0.25">
      <c r="A221" s="12">
        <v>36223</v>
      </c>
      <c r="B221" s="14" t="s">
        <v>238</v>
      </c>
      <c r="C221" s="14"/>
      <c r="D221" s="14"/>
      <c r="E221" s="1">
        <v>32</v>
      </c>
      <c r="F221" s="1">
        <f t="shared" si="0"/>
        <v>42.75</v>
      </c>
      <c r="G221" s="1">
        <v>61</v>
      </c>
      <c r="H221" s="1">
        <f t="shared" si="0"/>
        <v>54.25</v>
      </c>
      <c r="I221" s="1">
        <v>67</v>
      </c>
      <c r="J221" s="1">
        <f t="shared" si="0"/>
        <v>68.75</v>
      </c>
      <c r="M221" s="1">
        <v>10</v>
      </c>
      <c r="P221" s="1">
        <v>11</v>
      </c>
      <c r="Q221" s="1">
        <v>8</v>
      </c>
      <c r="R221" s="1">
        <v>3</v>
      </c>
      <c r="S221" s="1">
        <v>9</v>
      </c>
    </row>
    <row r="222" spans="1:19" x14ac:dyDescent="0.25">
      <c r="A222" s="12">
        <v>36230</v>
      </c>
      <c r="B222" s="14" t="s">
        <v>239</v>
      </c>
      <c r="C222" s="14"/>
      <c r="D222" s="14"/>
      <c r="E222" s="1">
        <v>29</v>
      </c>
      <c r="F222" s="1">
        <f t="shared" si="0"/>
        <v>39.5</v>
      </c>
      <c r="G222" s="1">
        <v>51</v>
      </c>
      <c r="H222" s="1">
        <f t="shared" si="0"/>
        <v>48.75</v>
      </c>
      <c r="I222" s="1">
        <v>71</v>
      </c>
      <c r="J222" s="1">
        <f t="shared" si="0"/>
        <v>63</v>
      </c>
      <c r="M222" s="1">
        <v>7</v>
      </c>
      <c r="P222" s="1">
        <v>18</v>
      </c>
      <c r="Q222" s="1">
        <v>9</v>
      </c>
      <c r="R222" s="1">
        <v>3</v>
      </c>
      <c r="S222" s="1">
        <v>10</v>
      </c>
    </row>
    <row r="223" spans="1:19" x14ac:dyDescent="0.25">
      <c r="A223" s="12">
        <v>36237</v>
      </c>
      <c r="B223" s="14" t="s">
        <v>240</v>
      </c>
      <c r="C223" s="14"/>
      <c r="D223" s="14"/>
      <c r="E223" s="1">
        <v>28</v>
      </c>
      <c r="F223" s="1">
        <f t="shared" si="0"/>
        <v>38</v>
      </c>
      <c r="G223" s="1">
        <v>44</v>
      </c>
      <c r="H223" s="1">
        <f t="shared" si="0"/>
        <v>46</v>
      </c>
      <c r="I223" s="1">
        <v>57</v>
      </c>
      <c r="J223" s="1">
        <f t="shared" si="0"/>
        <v>66.5</v>
      </c>
      <c r="M223" s="1">
        <v>8</v>
      </c>
      <c r="P223" s="1">
        <v>20</v>
      </c>
      <c r="Q223" s="1">
        <v>7</v>
      </c>
      <c r="R223" s="1">
        <v>3</v>
      </c>
      <c r="S223" s="1">
        <v>11</v>
      </c>
    </row>
    <row r="224" spans="1:19" x14ac:dyDescent="0.25">
      <c r="A224" s="12">
        <v>36244</v>
      </c>
      <c r="B224" s="14" t="s">
        <v>241</v>
      </c>
      <c r="C224" s="14"/>
      <c r="D224" s="14"/>
      <c r="E224" s="1">
        <v>30</v>
      </c>
      <c r="F224" s="1">
        <f t="shared" si="0"/>
        <v>38.75</v>
      </c>
      <c r="G224" s="1">
        <v>55</v>
      </c>
      <c r="H224" s="1">
        <f t="shared" si="0"/>
        <v>42.75</v>
      </c>
      <c r="I224" s="1">
        <v>68</v>
      </c>
      <c r="J224" s="1">
        <f t="shared" si="0"/>
        <v>66.75</v>
      </c>
      <c r="M224" s="1">
        <v>7</v>
      </c>
      <c r="P224" s="1">
        <v>11</v>
      </c>
      <c r="Q224" s="1">
        <v>14</v>
      </c>
      <c r="R224" s="1">
        <v>4</v>
      </c>
      <c r="S224" s="1">
        <v>12</v>
      </c>
    </row>
    <row r="225" spans="1:19" x14ac:dyDescent="0.25">
      <c r="A225" s="12">
        <v>36251</v>
      </c>
      <c r="B225" s="14" t="s">
        <v>242</v>
      </c>
      <c r="C225" s="14"/>
      <c r="D225" s="14"/>
      <c r="E225" s="1">
        <v>34</v>
      </c>
      <c r="F225" s="1">
        <f t="shared" si="0"/>
        <v>33.25</v>
      </c>
      <c r="G225" s="1">
        <v>48</v>
      </c>
      <c r="H225" s="1">
        <f t="shared" si="0"/>
        <v>45</v>
      </c>
      <c r="I225" s="1">
        <v>53</v>
      </c>
      <c r="J225" s="1">
        <f t="shared" si="0"/>
        <v>57.25</v>
      </c>
      <c r="M225" s="1">
        <v>8</v>
      </c>
      <c r="P225" s="1">
        <v>8</v>
      </c>
      <c r="Q225" s="1">
        <v>13</v>
      </c>
      <c r="R225" s="1">
        <v>4</v>
      </c>
      <c r="S225" s="1">
        <v>13</v>
      </c>
    </row>
    <row r="226" spans="1:19" x14ac:dyDescent="0.25">
      <c r="A226" s="12">
        <v>36258</v>
      </c>
      <c r="B226" s="14" t="s">
        <v>243</v>
      </c>
      <c r="C226" s="14"/>
      <c r="D226" s="14"/>
      <c r="E226" s="1">
        <v>27</v>
      </c>
      <c r="F226" s="1">
        <f t="shared" si="0"/>
        <v>31.75</v>
      </c>
      <c r="G226" s="1">
        <v>44</v>
      </c>
      <c r="H226" s="1">
        <f t="shared" si="0"/>
        <v>40.333333333333336</v>
      </c>
      <c r="I226" s="1">
        <v>57</v>
      </c>
      <c r="J226" s="1">
        <f t="shared" si="0"/>
        <v>53</v>
      </c>
      <c r="M226" s="1">
        <v>8</v>
      </c>
      <c r="P226" s="1">
        <v>10</v>
      </c>
      <c r="Q226" s="1">
        <v>8</v>
      </c>
      <c r="R226" s="1">
        <v>7</v>
      </c>
      <c r="S226" s="1">
        <v>14</v>
      </c>
    </row>
    <row r="227" spans="1:19" x14ac:dyDescent="0.25">
      <c r="A227" s="12">
        <v>36265</v>
      </c>
      <c r="B227" s="14" t="s">
        <v>244</v>
      </c>
      <c r="C227" s="14"/>
      <c r="D227" s="14"/>
      <c r="E227" s="1">
        <v>21</v>
      </c>
      <c r="F227" s="1">
        <f t="shared" si="0"/>
        <v>29.75</v>
      </c>
      <c r="G227" s="1">
        <v>50</v>
      </c>
      <c r="H227" s="1">
        <f t="shared" si="0"/>
        <v>44.5</v>
      </c>
      <c r="I227" s="1">
        <v>62</v>
      </c>
      <c r="J227" s="1">
        <f t="shared" si="0"/>
        <v>55.75</v>
      </c>
      <c r="M227" s="1">
        <v>10</v>
      </c>
      <c r="P227" s="1">
        <v>11</v>
      </c>
      <c r="Q227" s="1">
        <v>10</v>
      </c>
      <c r="R227" s="1">
        <v>4</v>
      </c>
      <c r="S227" s="1">
        <v>15</v>
      </c>
    </row>
    <row r="228" spans="1:19" x14ac:dyDescent="0.25">
      <c r="A228" s="12">
        <v>36272</v>
      </c>
      <c r="B228" s="14" t="s">
        <v>245</v>
      </c>
      <c r="C228" s="14"/>
      <c r="D228" s="14"/>
      <c r="E228" s="1">
        <v>14</v>
      </c>
      <c r="F228" s="1">
        <f t="shared" si="0"/>
        <v>24.25</v>
      </c>
      <c r="G228" s="1">
        <v>44</v>
      </c>
      <c r="H228" s="1">
        <f t="shared" si="0"/>
        <v>39.5</v>
      </c>
      <c r="I228" s="1">
        <v>68</v>
      </c>
      <c r="J228" s="1">
        <f t="shared" si="0"/>
        <v>47.75</v>
      </c>
      <c r="M228" s="1">
        <v>12</v>
      </c>
      <c r="P228" s="1">
        <v>6</v>
      </c>
      <c r="Q228" s="1">
        <v>14</v>
      </c>
      <c r="R228" s="1">
        <v>1</v>
      </c>
      <c r="S228" s="1">
        <v>16</v>
      </c>
    </row>
    <row r="229" spans="1:19" x14ac:dyDescent="0.25">
      <c r="A229" s="12">
        <v>36279</v>
      </c>
      <c r="B229" s="14" t="s">
        <v>246</v>
      </c>
      <c r="C229" s="14"/>
      <c r="D229" s="14"/>
      <c r="E229" s="1">
        <v>20</v>
      </c>
      <c r="F229" s="1">
        <f t="shared" si="0"/>
        <v>23</v>
      </c>
      <c r="G229" s="1">
        <v>52</v>
      </c>
      <c r="H229" s="1">
        <f t="shared" si="0"/>
        <v>43</v>
      </c>
      <c r="I229" s="1">
        <v>64</v>
      </c>
      <c r="J229" s="1">
        <f t="shared" si="0"/>
        <v>51</v>
      </c>
      <c r="M229" s="1">
        <v>13</v>
      </c>
      <c r="P229" s="1">
        <v>5</v>
      </c>
      <c r="Q229" s="1">
        <v>7</v>
      </c>
      <c r="R229" s="1">
        <v>3</v>
      </c>
      <c r="S229" s="1">
        <v>17</v>
      </c>
    </row>
    <row r="230" spans="1:19" x14ac:dyDescent="0.25">
      <c r="A230" s="12">
        <v>36286</v>
      </c>
      <c r="B230" s="14" t="s">
        <v>247</v>
      </c>
      <c r="C230" s="14"/>
      <c r="D230" s="14"/>
      <c r="E230" s="1">
        <v>22</v>
      </c>
      <c r="F230" s="1">
        <f t="shared" si="0"/>
        <v>19</v>
      </c>
      <c r="G230" s="1">
        <v>52</v>
      </c>
      <c r="H230" s="1">
        <f t="shared" si="0"/>
        <v>45</v>
      </c>
      <c r="I230" s="1">
        <v>52</v>
      </c>
      <c r="J230" s="1">
        <f t="shared" si="0"/>
        <v>48</v>
      </c>
      <c r="M230" s="1">
        <v>10</v>
      </c>
      <c r="P230" s="1">
        <v>9</v>
      </c>
      <c r="Q230" s="1">
        <v>6</v>
      </c>
      <c r="R230" s="1">
        <v>1</v>
      </c>
      <c r="S230" s="1">
        <v>18</v>
      </c>
    </row>
    <row r="231" spans="1:19" x14ac:dyDescent="0.25">
      <c r="A231" s="12">
        <v>36293</v>
      </c>
      <c r="B231" s="14" t="s">
        <v>248</v>
      </c>
      <c r="C231" s="14"/>
      <c r="D231" s="14"/>
      <c r="E231" s="1">
        <v>29</v>
      </c>
      <c r="F231" s="1">
        <f t="shared" si="0"/>
        <v>24.75</v>
      </c>
      <c r="G231" s="1">
        <v>39</v>
      </c>
      <c r="H231" s="1">
        <f t="shared" si="0"/>
        <v>37.5</v>
      </c>
      <c r="I231" s="1">
        <v>64</v>
      </c>
      <c r="J231" s="1">
        <f t="shared" si="0"/>
        <v>52.5</v>
      </c>
      <c r="M231" s="1">
        <v>9</v>
      </c>
      <c r="P231" s="1">
        <v>12</v>
      </c>
      <c r="Q231" s="1">
        <v>8</v>
      </c>
      <c r="R231" s="1">
        <v>1</v>
      </c>
      <c r="S231" s="1">
        <v>19</v>
      </c>
    </row>
    <row r="232" spans="1:19" x14ac:dyDescent="0.25">
      <c r="A232" s="12">
        <v>36300</v>
      </c>
      <c r="B232" s="14" t="s">
        <v>249</v>
      </c>
      <c r="C232" s="14"/>
      <c r="D232" s="14"/>
      <c r="E232" s="1">
        <v>28</v>
      </c>
      <c r="F232" s="1">
        <f t="shared" si="0"/>
        <v>24.25</v>
      </c>
      <c r="G232" s="1">
        <v>55</v>
      </c>
      <c r="H232" s="1">
        <f t="shared" si="0"/>
        <v>41.75</v>
      </c>
      <c r="I232" s="1">
        <v>70</v>
      </c>
      <c r="J232" s="1">
        <f t="shared" si="0"/>
        <v>44</v>
      </c>
      <c r="M232" s="1">
        <v>11</v>
      </c>
      <c r="P232" s="1">
        <v>14</v>
      </c>
      <c r="Q232" s="1">
        <v>7</v>
      </c>
      <c r="R232" s="1">
        <v>2</v>
      </c>
      <c r="S232" s="1">
        <v>20</v>
      </c>
    </row>
    <row r="233" spans="1:19" x14ac:dyDescent="0.25">
      <c r="A233" s="12">
        <v>36307</v>
      </c>
      <c r="B233" s="14" t="s">
        <v>250</v>
      </c>
      <c r="C233" s="14"/>
      <c r="D233" s="14"/>
      <c r="E233" s="1">
        <v>25</v>
      </c>
      <c r="F233" s="1">
        <f t="shared" si="0"/>
        <v>29.5</v>
      </c>
      <c r="G233" s="1">
        <v>50</v>
      </c>
      <c r="H233" s="1">
        <f t="shared" si="0"/>
        <v>39</v>
      </c>
      <c r="I233" s="1">
        <v>59</v>
      </c>
      <c r="J233" s="1">
        <f t="shared" si="0"/>
        <v>40.5</v>
      </c>
      <c r="M233" s="1">
        <v>11</v>
      </c>
      <c r="P233" s="1">
        <v>12</v>
      </c>
      <c r="Q233" s="1">
        <v>10</v>
      </c>
      <c r="R233" s="1">
        <v>2</v>
      </c>
      <c r="S233" s="1">
        <v>21</v>
      </c>
    </row>
    <row r="234" spans="1:19" x14ac:dyDescent="0.25">
      <c r="A234" s="12">
        <v>36314</v>
      </c>
      <c r="B234" s="14" t="s">
        <v>251</v>
      </c>
      <c r="C234" s="14"/>
      <c r="D234" s="14"/>
      <c r="E234" s="1">
        <v>33</v>
      </c>
      <c r="F234" s="1">
        <f t="shared" si="0"/>
        <v>23.5</v>
      </c>
      <c r="G234" s="1">
        <v>49</v>
      </c>
      <c r="H234" s="1">
        <f t="shared" si="0"/>
        <v>36.5</v>
      </c>
      <c r="I234" s="1">
        <v>60</v>
      </c>
      <c r="J234" s="1">
        <f t="shared" si="0"/>
        <v>44</v>
      </c>
      <c r="M234" s="1">
        <v>7</v>
      </c>
      <c r="P234" s="1">
        <v>10</v>
      </c>
      <c r="Q234" s="1">
        <v>8</v>
      </c>
      <c r="R234" s="1">
        <v>5</v>
      </c>
      <c r="S234" s="1">
        <v>22</v>
      </c>
    </row>
    <row r="235" spans="1:19" x14ac:dyDescent="0.25">
      <c r="A235" s="12">
        <v>36321</v>
      </c>
      <c r="B235" s="14" t="s">
        <v>252</v>
      </c>
      <c r="C235" s="14"/>
      <c r="D235" s="14"/>
      <c r="E235" s="1">
        <v>24</v>
      </c>
      <c r="F235" s="1">
        <f t="shared" si="0"/>
        <v>27.25</v>
      </c>
      <c r="G235" s="1">
        <v>54</v>
      </c>
      <c r="H235" s="1">
        <f t="shared" si="0"/>
        <v>34.25</v>
      </c>
      <c r="I235" s="1">
        <v>65</v>
      </c>
      <c r="J235" s="1">
        <f t="shared" si="0"/>
        <v>48</v>
      </c>
      <c r="M235" s="1">
        <v>6</v>
      </c>
      <c r="P235" s="1">
        <v>10</v>
      </c>
      <c r="Q235" s="1">
        <v>8</v>
      </c>
      <c r="R235" s="1">
        <v>5</v>
      </c>
      <c r="S235" s="1">
        <v>23</v>
      </c>
    </row>
    <row r="236" spans="1:19" x14ac:dyDescent="0.25">
      <c r="A236" s="12">
        <v>36328</v>
      </c>
      <c r="B236" s="14" t="s">
        <v>253</v>
      </c>
      <c r="C236" s="14"/>
      <c r="D236" s="14"/>
      <c r="E236" s="1">
        <v>27</v>
      </c>
      <c r="F236" s="1">
        <f t="shared" si="0"/>
        <v>27.25</v>
      </c>
      <c r="G236" s="1">
        <v>49</v>
      </c>
      <c r="H236" s="1">
        <f t="shared" si="0"/>
        <v>38.5</v>
      </c>
      <c r="I236" s="1">
        <v>76</v>
      </c>
      <c r="J236" s="1">
        <f t="shared" si="0"/>
        <v>48.5</v>
      </c>
      <c r="M236" s="1">
        <v>10</v>
      </c>
      <c r="P236" s="1">
        <v>9</v>
      </c>
      <c r="Q236" s="1">
        <v>11</v>
      </c>
      <c r="R236" s="1">
        <v>1</v>
      </c>
      <c r="S236" s="1">
        <v>24</v>
      </c>
    </row>
    <row r="237" spans="1:19" x14ac:dyDescent="0.25">
      <c r="A237" s="12">
        <v>36335</v>
      </c>
      <c r="B237" s="14" t="s">
        <v>254</v>
      </c>
      <c r="C237" s="14"/>
      <c r="D237" s="14"/>
      <c r="E237" s="1">
        <v>29</v>
      </c>
      <c r="F237" s="1">
        <f t="shared" si="0"/>
        <v>28.5</v>
      </c>
      <c r="G237" s="1">
        <v>52</v>
      </c>
      <c r="H237" s="1">
        <f t="shared" si="0"/>
        <v>39.5</v>
      </c>
      <c r="I237" s="1">
        <v>68</v>
      </c>
      <c r="J237" s="1">
        <f t="shared" si="0"/>
        <v>52</v>
      </c>
      <c r="M237" s="1">
        <v>8</v>
      </c>
      <c r="P237" s="1">
        <v>8</v>
      </c>
      <c r="Q237" s="1">
        <v>7</v>
      </c>
      <c r="R237" s="1">
        <v>0</v>
      </c>
      <c r="S237" s="1">
        <v>25</v>
      </c>
    </row>
    <row r="238" spans="1:19" x14ac:dyDescent="0.25">
      <c r="A238" s="12">
        <v>36342</v>
      </c>
      <c r="B238" s="14" t="s">
        <v>255</v>
      </c>
      <c r="C238" s="14"/>
      <c r="D238" s="14"/>
      <c r="E238" s="1">
        <v>33</v>
      </c>
      <c r="F238" s="1">
        <f t="shared" si="0"/>
        <v>27</v>
      </c>
      <c r="G238" s="1">
        <v>50</v>
      </c>
      <c r="H238" s="1">
        <f t="shared" si="0"/>
        <v>42.25</v>
      </c>
      <c r="I238" s="1">
        <v>59</v>
      </c>
      <c r="J238" s="1">
        <f t="shared" si="0"/>
        <v>60.5</v>
      </c>
      <c r="M238" s="1">
        <v>10</v>
      </c>
      <c r="P238" s="1">
        <v>3</v>
      </c>
      <c r="Q238" s="1">
        <v>14</v>
      </c>
      <c r="R238" s="1">
        <v>2</v>
      </c>
      <c r="S238" s="1">
        <v>26</v>
      </c>
    </row>
    <row r="239" spans="1:19" x14ac:dyDescent="0.25">
      <c r="A239" s="12">
        <v>36349</v>
      </c>
      <c r="B239" s="14" t="s">
        <v>256</v>
      </c>
      <c r="C239" s="14"/>
      <c r="D239" s="14"/>
      <c r="E239" s="1">
        <v>36</v>
      </c>
      <c r="F239" s="1">
        <f t="shared" si="0"/>
        <v>28</v>
      </c>
      <c r="G239" s="1">
        <v>46</v>
      </c>
      <c r="H239" s="1">
        <f t="shared" si="0"/>
        <v>41.5</v>
      </c>
      <c r="I239" s="1">
        <v>58</v>
      </c>
      <c r="J239" s="1">
        <f t="shared" si="0"/>
        <v>58.25</v>
      </c>
      <c r="M239" s="1">
        <v>11</v>
      </c>
      <c r="P239" s="1">
        <v>5</v>
      </c>
      <c r="Q239" s="1">
        <v>7</v>
      </c>
      <c r="R239" s="1">
        <v>2</v>
      </c>
      <c r="S239" s="1">
        <v>27</v>
      </c>
    </row>
    <row r="240" spans="1:19" x14ac:dyDescent="0.25">
      <c r="A240" s="12">
        <v>36356</v>
      </c>
      <c r="B240" s="14" t="s">
        <v>257</v>
      </c>
      <c r="C240" s="14"/>
      <c r="D240" s="14"/>
      <c r="E240" s="1">
        <v>27</v>
      </c>
      <c r="F240" s="1">
        <f t="shared" si="0"/>
        <v>27.25</v>
      </c>
      <c r="G240" s="1">
        <v>49</v>
      </c>
      <c r="H240" s="1">
        <f t="shared" si="0"/>
        <v>43.5</v>
      </c>
      <c r="I240" s="1">
        <v>59</v>
      </c>
      <c r="J240" s="1">
        <f t="shared" si="0"/>
        <v>62.5</v>
      </c>
      <c r="M240" s="1">
        <v>7</v>
      </c>
      <c r="P240" s="1">
        <v>2</v>
      </c>
      <c r="Q240" s="1">
        <v>9</v>
      </c>
      <c r="R240" s="1">
        <v>2</v>
      </c>
      <c r="S240" s="1">
        <v>28</v>
      </c>
    </row>
    <row r="241" spans="1:19" x14ac:dyDescent="0.25">
      <c r="A241" s="12">
        <v>36363</v>
      </c>
      <c r="B241" s="14" t="s">
        <v>258</v>
      </c>
      <c r="C241" s="14"/>
      <c r="D241" s="14"/>
      <c r="E241" s="1">
        <v>26</v>
      </c>
      <c r="F241" s="1">
        <f t="shared" si="0"/>
        <v>28.5</v>
      </c>
      <c r="G241" s="1">
        <v>45</v>
      </c>
      <c r="H241" s="1">
        <f t="shared" si="0"/>
        <v>45</v>
      </c>
      <c r="I241" s="1">
        <v>64</v>
      </c>
      <c r="J241" s="1">
        <f t="shared" si="0"/>
        <v>59.25</v>
      </c>
      <c r="M241" s="1">
        <v>11</v>
      </c>
      <c r="P241" s="1">
        <v>10</v>
      </c>
      <c r="Q241" s="1">
        <v>8</v>
      </c>
      <c r="R241" s="1">
        <v>2</v>
      </c>
      <c r="S241" s="1">
        <v>29</v>
      </c>
    </row>
    <row r="242" spans="1:19" x14ac:dyDescent="0.25">
      <c r="A242" s="12">
        <v>36370</v>
      </c>
      <c r="B242" s="14" t="s">
        <v>259</v>
      </c>
      <c r="C242" s="14"/>
      <c r="D242" s="14"/>
      <c r="E242" s="1">
        <v>33</v>
      </c>
      <c r="F242" s="1">
        <f t="shared" si="0"/>
        <v>30.75</v>
      </c>
      <c r="G242" s="1">
        <v>62</v>
      </c>
      <c r="H242" s="1">
        <f t="shared" si="0"/>
        <v>47.75</v>
      </c>
      <c r="I242" s="1">
        <v>76</v>
      </c>
      <c r="J242" s="1">
        <f t="shared" si="0"/>
        <v>58.25</v>
      </c>
      <c r="M242" s="1">
        <v>16</v>
      </c>
      <c r="P242" s="1">
        <v>8</v>
      </c>
      <c r="Q242" s="1">
        <v>15</v>
      </c>
      <c r="R242" s="1">
        <v>4</v>
      </c>
      <c r="S242" s="1">
        <v>30</v>
      </c>
    </row>
    <row r="243" spans="1:19" x14ac:dyDescent="0.25">
      <c r="A243" s="12">
        <v>36377</v>
      </c>
      <c r="B243" s="14" t="s">
        <v>260</v>
      </c>
      <c r="C243" s="14"/>
      <c r="D243" s="14"/>
      <c r="E243" s="1">
        <v>32</v>
      </c>
      <c r="F243" s="1">
        <f t="shared" si="0"/>
        <v>34.25</v>
      </c>
      <c r="G243" s="1">
        <v>56</v>
      </c>
      <c r="H243" s="1">
        <f t="shared" si="0"/>
        <v>49</v>
      </c>
      <c r="I243" s="1">
        <v>67</v>
      </c>
      <c r="J243" s="1">
        <f t="shared" si="0"/>
        <v>53.5</v>
      </c>
      <c r="M243" s="1">
        <v>11</v>
      </c>
      <c r="P243" s="1">
        <v>8</v>
      </c>
      <c r="Q243" s="1">
        <v>5</v>
      </c>
      <c r="R243" s="1">
        <v>0</v>
      </c>
      <c r="S243" s="1">
        <v>31</v>
      </c>
    </row>
    <row r="244" spans="1:19" x14ac:dyDescent="0.25">
      <c r="A244" s="12">
        <v>36384</v>
      </c>
      <c r="B244" s="14" t="s">
        <v>261</v>
      </c>
      <c r="C244" s="14"/>
      <c r="D244" s="14"/>
      <c r="E244" s="1">
        <v>35</v>
      </c>
      <c r="F244" s="1">
        <f t="shared" si="0"/>
        <v>32.25</v>
      </c>
      <c r="G244" s="1">
        <v>51</v>
      </c>
      <c r="H244" s="1">
        <f t="shared" si="0"/>
        <v>44</v>
      </c>
      <c r="I244" s="1">
        <v>73</v>
      </c>
      <c r="J244" s="1">
        <f t="shared" si="0"/>
        <v>55.75</v>
      </c>
      <c r="M244" s="1">
        <v>10</v>
      </c>
      <c r="P244" s="1">
        <v>8</v>
      </c>
      <c r="Q244" s="1">
        <v>10</v>
      </c>
      <c r="R244" s="1">
        <v>3</v>
      </c>
      <c r="S244" s="1">
        <v>32</v>
      </c>
    </row>
    <row r="245" spans="1:19" x14ac:dyDescent="0.25">
      <c r="A245" s="12">
        <v>36391</v>
      </c>
      <c r="B245" s="14" t="s">
        <v>262</v>
      </c>
      <c r="C245" s="14"/>
      <c r="D245" s="14"/>
      <c r="E245" s="1">
        <v>31</v>
      </c>
      <c r="F245" s="1">
        <f t="shared" si="0"/>
        <v>32.25</v>
      </c>
      <c r="G245" s="1">
        <v>51</v>
      </c>
      <c r="H245" s="1">
        <f t="shared" si="0"/>
        <v>45.5</v>
      </c>
      <c r="I245" s="1">
        <v>59</v>
      </c>
      <c r="J245" s="1">
        <f t="shared" si="0"/>
        <v>54.75</v>
      </c>
      <c r="M245" s="1">
        <v>10</v>
      </c>
      <c r="P245" s="1">
        <v>10</v>
      </c>
      <c r="Q245" s="1">
        <v>7</v>
      </c>
      <c r="R245" s="1">
        <v>0</v>
      </c>
      <c r="S245" s="1">
        <v>33</v>
      </c>
    </row>
    <row r="246" spans="1:19" x14ac:dyDescent="0.25">
      <c r="A246" s="12">
        <v>36398</v>
      </c>
      <c r="B246" s="14" t="s">
        <v>263</v>
      </c>
      <c r="C246" s="14"/>
      <c r="D246" s="14"/>
      <c r="E246" s="1">
        <v>41</v>
      </c>
      <c r="F246" s="1">
        <f t="shared" si="0"/>
        <v>28</v>
      </c>
      <c r="G246" s="1">
        <v>58</v>
      </c>
      <c r="H246" s="1">
        <f t="shared" si="0"/>
        <v>48</v>
      </c>
      <c r="I246" s="1">
        <v>74</v>
      </c>
      <c r="J246" s="1">
        <f t="shared" si="0"/>
        <v>55.5</v>
      </c>
      <c r="M246" s="1">
        <v>6</v>
      </c>
      <c r="P246" s="1">
        <v>4</v>
      </c>
      <c r="Q246" s="1">
        <v>7</v>
      </c>
      <c r="R246" s="1">
        <v>7</v>
      </c>
      <c r="S246" s="1">
        <v>34</v>
      </c>
    </row>
    <row r="247" spans="1:19" x14ac:dyDescent="0.25">
      <c r="A247" s="12">
        <v>36405</v>
      </c>
      <c r="B247" s="14" t="s">
        <v>264</v>
      </c>
      <c r="C247" s="14"/>
      <c r="D247" s="14"/>
      <c r="E247" s="1">
        <v>44</v>
      </c>
      <c r="F247" s="1">
        <f t="shared" si="0"/>
        <v>29.25</v>
      </c>
      <c r="G247" s="1">
        <v>54</v>
      </c>
      <c r="H247" s="1">
        <f t="shared" si="0"/>
        <v>43.5</v>
      </c>
      <c r="I247" s="1">
        <v>61</v>
      </c>
      <c r="J247" s="1">
        <f t="shared" si="0"/>
        <v>56.25</v>
      </c>
      <c r="M247" s="1">
        <v>9</v>
      </c>
      <c r="P247" s="1">
        <v>4</v>
      </c>
      <c r="Q247" s="1">
        <v>8</v>
      </c>
      <c r="R247" s="1">
        <v>1</v>
      </c>
      <c r="S247" s="1">
        <v>35</v>
      </c>
    </row>
    <row r="248" spans="1:19" x14ac:dyDescent="0.25">
      <c r="A248" s="12">
        <v>36412</v>
      </c>
      <c r="B248" s="14" t="s">
        <v>265</v>
      </c>
      <c r="C248" s="14"/>
      <c r="D248" s="14"/>
      <c r="E248" s="1">
        <v>36</v>
      </c>
      <c r="F248" s="1">
        <f t="shared" si="0"/>
        <v>32.75</v>
      </c>
      <c r="G248" s="1">
        <v>56</v>
      </c>
      <c r="H248" s="1">
        <f t="shared" si="0"/>
        <v>45.75</v>
      </c>
      <c r="I248" s="1">
        <v>71</v>
      </c>
      <c r="J248" s="1">
        <f t="shared" si="0"/>
        <v>59.25</v>
      </c>
      <c r="M248" s="1">
        <v>9</v>
      </c>
      <c r="P248" s="1">
        <v>7</v>
      </c>
      <c r="Q248" s="1">
        <v>2</v>
      </c>
      <c r="R248" s="1">
        <v>1</v>
      </c>
      <c r="S248" s="1">
        <v>36</v>
      </c>
    </row>
    <row r="249" spans="1:19" x14ac:dyDescent="0.25">
      <c r="A249" s="12">
        <v>36419</v>
      </c>
      <c r="B249" s="14" t="s">
        <v>266</v>
      </c>
      <c r="C249" s="14"/>
      <c r="D249" s="14"/>
      <c r="E249" s="1">
        <v>31</v>
      </c>
      <c r="F249" s="1">
        <f t="shared" si="0"/>
        <v>40.25</v>
      </c>
      <c r="G249" s="1">
        <v>58</v>
      </c>
      <c r="H249" s="1">
        <f t="shared" si="0"/>
        <v>45</v>
      </c>
      <c r="I249" s="1">
        <v>64</v>
      </c>
      <c r="J249" s="1">
        <f t="shared" si="0"/>
        <v>63.75</v>
      </c>
      <c r="M249" s="1">
        <v>8</v>
      </c>
      <c r="P249" s="1">
        <v>9</v>
      </c>
      <c r="Q249" s="1">
        <v>9</v>
      </c>
      <c r="R249" s="1">
        <v>2</v>
      </c>
      <c r="S249" s="1">
        <v>37</v>
      </c>
    </row>
    <row r="250" spans="1:19" x14ac:dyDescent="0.25">
      <c r="A250" s="12">
        <v>36426</v>
      </c>
      <c r="B250" s="14" t="s">
        <v>267</v>
      </c>
      <c r="C250" s="14"/>
      <c r="D250" s="14"/>
      <c r="E250" s="1">
        <v>32</v>
      </c>
      <c r="F250" s="1">
        <f t="shared" si="0"/>
        <v>44.25</v>
      </c>
      <c r="G250" s="1">
        <v>65</v>
      </c>
      <c r="H250" s="1">
        <f t="shared" si="0"/>
        <v>49.75</v>
      </c>
      <c r="I250" s="1">
        <v>78</v>
      </c>
      <c r="J250" s="1">
        <f t="shared" si="0"/>
        <v>62.25</v>
      </c>
      <c r="M250" s="1">
        <v>7</v>
      </c>
      <c r="P250" s="1">
        <v>8</v>
      </c>
      <c r="Q250" s="1">
        <v>9</v>
      </c>
      <c r="R250" s="1">
        <v>3</v>
      </c>
      <c r="S250" s="1">
        <v>38</v>
      </c>
    </row>
    <row r="251" spans="1:19" x14ac:dyDescent="0.25">
      <c r="A251" s="12">
        <v>36433</v>
      </c>
      <c r="B251" s="14" t="s">
        <v>268</v>
      </c>
      <c r="C251" s="14"/>
      <c r="D251" s="14"/>
      <c r="E251" s="1">
        <v>32</v>
      </c>
      <c r="F251" s="1">
        <f t="shared" si="0"/>
        <v>38</v>
      </c>
      <c r="G251" s="1">
        <v>53</v>
      </c>
      <c r="H251" s="1">
        <f t="shared" si="0"/>
        <v>43.25</v>
      </c>
      <c r="I251" s="1">
        <v>70</v>
      </c>
      <c r="J251" s="1">
        <f t="shared" si="0"/>
        <v>55.75</v>
      </c>
      <c r="M251" s="1">
        <v>10</v>
      </c>
      <c r="P251" s="1">
        <v>6</v>
      </c>
      <c r="Q251" s="1">
        <v>11</v>
      </c>
      <c r="R251" s="1">
        <v>2</v>
      </c>
      <c r="S251" s="1">
        <v>39</v>
      </c>
    </row>
    <row r="252" spans="1:19" x14ac:dyDescent="0.25">
      <c r="A252" s="12">
        <v>36440</v>
      </c>
      <c r="B252" s="14" t="s">
        <v>269</v>
      </c>
      <c r="C252" s="14"/>
      <c r="D252" s="14"/>
      <c r="E252" s="1">
        <v>34</v>
      </c>
      <c r="F252" s="1">
        <f t="shared" si="0"/>
        <v>38</v>
      </c>
      <c r="G252" s="1">
        <v>53</v>
      </c>
      <c r="H252" s="1">
        <f t="shared" si="0"/>
        <v>48.5</v>
      </c>
      <c r="I252" s="1">
        <v>75</v>
      </c>
      <c r="J252" s="1">
        <f t="shared" si="0"/>
        <v>67.75</v>
      </c>
      <c r="M252" s="1">
        <v>13</v>
      </c>
      <c r="P252" s="1">
        <v>6</v>
      </c>
      <c r="Q252" s="1">
        <v>8</v>
      </c>
      <c r="R252" s="1">
        <v>2</v>
      </c>
      <c r="S252" s="1">
        <v>40</v>
      </c>
    </row>
    <row r="253" spans="1:19" x14ac:dyDescent="0.25">
      <c r="A253" s="12">
        <v>36447</v>
      </c>
      <c r="B253" s="14" t="s">
        <v>270</v>
      </c>
      <c r="C253" s="14"/>
      <c r="D253" s="14"/>
      <c r="E253" s="1">
        <v>32</v>
      </c>
      <c r="F253" s="1">
        <f t="shared" si="0"/>
        <v>38.75</v>
      </c>
      <c r="G253" s="1">
        <v>63</v>
      </c>
      <c r="H253" s="1">
        <f t="shared" si="0"/>
        <v>49</v>
      </c>
      <c r="I253" s="1">
        <v>80</v>
      </c>
      <c r="J253" s="1">
        <f t="shared" si="0"/>
        <v>66.75</v>
      </c>
      <c r="M253" s="1">
        <v>9</v>
      </c>
      <c r="P253" s="1">
        <v>5</v>
      </c>
      <c r="Q253" s="1">
        <v>7</v>
      </c>
      <c r="R253" s="1">
        <v>6</v>
      </c>
      <c r="S253" s="1">
        <v>41</v>
      </c>
    </row>
    <row r="254" spans="1:19" x14ac:dyDescent="0.25">
      <c r="A254" s="12">
        <v>36454</v>
      </c>
      <c r="B254" s="14" t="s">
        <v>271</v>
      </c>
      <c r="C254" s="14"/>
      <c r="D254" s="14"/>
      <c r="E254" s="1">
        <v>31</v>
      </c>
      <c r="F254" s="1">
        <f t="shared" si="0"/>
        <v>41.75</v>
      </c>
      <c r="G254" s="1">
        <v>56</v>
      </c>
      <c r="H254" s="1">
        <f t="shared" si="0"/>
        <v>53</v>
      </c>
      <c r="I254" s="1">
        <v>66</v>
      </c>
      <c r="J254" s="1">
        <f t="shared" si="0"/>
        <v>67.5</v>
      </c>
      <c r="M254" s="1">
        <v>18</v>
      </c>
      <c r="P254" s="1">
        <v>11</v>
      </c>
      <c r="Q254" s="1">
        <v>6</v>
      </c>
      <c r="R254" s="1">
        <v>4</v>
      </c>
      <c r="S254" s="1">
        <v>42</v>
      </c>
    </row>
    <row r="255" spans="1:19" x14ac:dyDescent="0.25">
      <c r="A255" s="12">
        <v>36461</v>
      </c>
      <c r="B255" s="14" t="s">
        <v>272</v>
      </c>
      <c r="C255" s="14"/>
      <c r="D255" s="14"/>
      <c r="E255" s="1">
        <v>23</v>
      </c>
      <c r="F255" s="1">
        <f t="shared" si="0"/>
        <v>46.5</v>
      </c>
      <c r="G255" s="1">
        <v>59</v>
      </c>
      <c r="H255" s="1">
        <f t="shared" si="0"/>
        <v>50.25</v>
      </c>
      <c r="I255" s="1">
        <v>58</v>
      </c>
      <c r="J255" s="1">
        <f t="shared" si="0"/>
        <v>77.25</v>
      </c>
      <c r="M255" s="1">
        <v>16</v>
      </c>
      <c r="P255" s="1">
        <v>12</v>
      </c>
      <c r="Q255" s="1">
        <v>12</v>
      </c>
      <c r="R255" s="1">
        <v>4</v>
      </c>
      <c r="S255" s="1">
        <v>43</v>
      </c>
    </row>
    <row r="256" spans="1:19" x14ac:dyDescent="0.25">
      <c r="A256" s="12">
        <v>36468</v>
      </c>
      <c r="B256" s="14" t="s">
        <v>273</v>
      </c>
      <c r="C256" s="14"/>
      <c r="D256" s="14"/>
      <c r="E256" s="1">
        <v>37</v>
      </c>
      <c r="F256" s="1">
        <f t="shared" si="0"/>
        <v>47.75</v>
      </c>
      <c r="G256" s="1">
        <v>51</v>
      </c>
      <c r="H256" s="1">
        <f t="shared" si="0"/>
        <v>55</v>
      </c>
      <c r="I256" s="1">
        <v>76</v>
      </c>
      <c r="J256" s="1">
        <f t="shared" si="0"/>
        <v>70.5</v>
      </c>
      <c r="M256" s="1">
        <v>10</v>
      </c>
      <c r="P256" s="1">
        <v>14</v>
      </c>
      <c r="Q256" s="1">
        <v>7</v>
      </c>
      <c r="R256" s="1">
        <v>4</v>
      </c>
      <c r="S256" s="1">
        <v>44</v>
      </c>
    </row>
    <row r="257" spans="1:19" x14ac:dyDescent="0.25">
      <c r="A257" s="12">
        <v>36475</v>
      </c>
      <c r="B257" s="14" t="s">
        <v>274</v>
      </c>
      <c r="C257" s="14"/>
      <c r="D257" s="14"/>
      <c r="E257" s="1">
        <v>36</v>
      </c>
      <c r="F257" s="1">
        <f t="shared" si="0"/>
        <v>43</v>
      </c>
      <c r="G257" s="1">
        <v>59</v>
      </c>
      <c r="H257" s="1">
        <f t="shared" si="0"/>
        <v>53</v>
      </c>
      <c r="I257" s="1">
        <v>61</v>
      </c>
      <c r="J257" s="1">
        <f t="shared" si="0"/>
        <v>69.5</v>
      </c>
      <c r="M257" s="1">
        <v>9</v>
      </c>
      <c r="P257" s="1">
        <v>16</v>
      </c>
      <c r="Q257" s="1">
        <v>11</v>
      </c>
      <c r="R257" s="1">
        <v>3</v>
      </c>
      <c r="S257" s="1">
        <v>45</v>
      </c>
    </row>
    <row r="258" spans="1:19" x14ac:dyDescent="0.25">
      <c r="A258" s="12">
        <v>36482</v>
      </c>
      <c r="B258" s="14" t="s">
        <v>275</v>
      </c>
      <c r="C258" s="14"/>
      <c r="D258" s="14"/>
      <c r="E258" s="1">
        <v>23</v>
      </c>
      <c r="F258" s="1">
        <f t="shared" si="0"/>
        <v>42</v>
      </c>
      <c r="G258" s="1">
        <v>57</v>
      </c>
      <c r="H258" s="1">
        <f t="shared" si="0"/>
        <v>50</v>
      </c>
      <c r="I258" s="1">
        <v>75</v>
      </c>
      <c r="J258" s="1">
        <f t="shared" si="0"/>
        <v>64.75</v>
      </c>
      <c r="M258" s="1">
        <v>10</v>
      </c>
      <c r="P258" s="1">
        <v>11</v>
      </c>
      <c r="Q258" s="1">
        <v>9</v>
      </c>
      <c r="R258" s="1">
        <v>6</v>
      </c>
      <c r="S258" s="1">
        <v>46</v>
      </c>
    </row>
    <row r="259" spans="1:19" x14ac:dyDescent="0.25">
      <c r="A259" s="12">
        <v>36489</v>
      </c>
      <c r="B259" s="14" t="s">
        <v>276</v>
      </c>
      <c r="C259" s="14"/>
      <c r="D259" s="14"/>
      <c r="E259" s="1">
        <v>21</v>
      </c>
      <c r="F259" s="1">
        <f t="shared" si="0"/>
        <v>37.25</v>
      </c>
      <c r="G259" s="1">
        <v>60</v>
      </c>
      <c r="H259" s="1">
        <f t="shared" si="0"/>
        <v>51</v>
      </c>
      <c r="I259" s="1">
        <v>66</v>
      </c>
      <c r="J259" s="1">
        <f t="shared" si="0"/>
        <v>76</v>
      </c>
      <c r="M259" s="1">
        <v>9</v>
      </c>
      <c r="P259" s="1">
        <v>16</v>
      </c>
      <c r="Q259" s="1">
        <v>7</v>
      </c>
      <c r="R259" s="1">
        <v>4</v>
      </c>
      <c r="S259" s="1">
        <v>47</v>
      </c>
    </row>
    <row r="260" spans="1:19" x14ac:dyDescent="0.25">
      <c r="A260" s="12">
        <v>36496</v>
      </c>
      <c r="B260" s="14" t="s">
        <v>277</v>
      </c>
      <c r="C260" s="14"/>
      <c r="D260" s="14"/>
      <c r="E260" s="1">
        <v>31</v>
      </c>
      <c r="F260" s="1">
        <f t="shared" si="0"/>
        <v>42.5</v>
      </c>
      <c r="G260" s="1">
        <v>47</v>
      </c>
      <c r="H260" s="1">
        <f t="shared" si="0"/>
        <v>52.5</v>
      </c>
      <c r="I260" s="1">
        <v>55</v>
      </c>
      <c r="J260" s="1">
        <f t="shared" si="0"/>
        <v>75</v>
      </c>
      <c r="M260" s="1">
        <v>9</v>
      </c>
      <c r="P260" s="1">
        <v>17</v>
      </c>
      <c r="Q260" s="1">
        <v>9</v>
      </c>
      <c r="R260" s="1">
        <v>2</v>
      </c>
      <c r="S260" s="1">
        <v>48</v>
      </c>
    </row>
    <row r="261" spans="1:19" x14ac:dyDescent="0.25">
      <c r="A261" s="12">
        <v>36503</v>
      </c>
      <c r="B261" s="14" t="s">
        <v>278</v>
      </c>
      <c r="C261" s="14"/>
      <c r="D261" s="14"/>
      <c r="E261" s="1">
        <v>32</v>
      </c>
      <c r="F261" s="1">
        <f t="shared" si="0"/>
        <v>40.5</v>
      </c>
      <c r="G261" s="1">
        <v>53</v>
      </c>
      <c r="H261" s="1">
        <f t="shared" si="0"/>
        <v>52.5</v>
      </c>
      <c r="I261" s="1">
        <v>74</v>
      </c>
      <c r="J261" s="1">
        <f t="shared" si="0"/>
        <v>73</v>
      </c>
      <c r="M261" s="1">
        <v>9</v>
      </c>
      <c r="P261" s="1">
        <v>9</v>
      </c>
      <c r="Q261" s="1">
        <v>13</v>
      </c>
      <c r="R261" s="1">
        <v>5</v>
      </c>
      <c r="S261" s="1">
        <v>49</v>
      </c>
    </row>
    <row r="262" spans="1:19" x14ac:dyDescent="0.25">
      <c r="A262" s="12">
        <v>36510</v>
      </c>
      <c r="B262" s="14" t="s">
        <v>279</v>
      </c>
      <c r="C262" s="14"/>
      <c r="D262" s="14"/>
      <c r="E262" s="1">
        <v>47</v>
      </c>
      <c r="F262" s="1">
        <f t="shared" si="0"/>
        <v>43.75</v>
      </c>
      <c r="G262" s="1">
        <v>61</v>
      </c>
      <c r="H262" s="1">
        <f t="shared" si="0"/>
        <v>52.75</v>
      </c>
      <c r="I262" s="1">
        <v>68</v>
      </c>
      <c r="J262" s="1">
        <f t="shared" si="0"/>
        <v>65.75</v>
      </c>
      <c r="M262" s="1">
        <v>9</v>
      </c>
      <c r="P262" s="1">
        <v>11</v>
      </c>
      <c r="Q262" s="1">
        <v>8</v>
      </c>
      <c r="R262" s="1">
        <v>3</v>
      </c>
      <c r="S262" s="1">
        <v>50</v>
      </c>
    </row>
    <row r="263" spans="1:19" x14ac:dyDescent="0.25">
      <c r="A263" s="12">
        <v>36517</v>
      </c>
      <c r="B263" s="14" t="s">
        <v>280</v>
      </c>
      <c r="C263" s="14"/>
      <c r="D263" s="14"/>
      <c r="E263" s="1">
        <v>34</v>
      </c>
      <c r="F263" s="1">
        <f t="shared" si="0"/>
        <v>31.75</v>
      </c>
      <c r="G263" s="1">
        <v>50</v>
      </c>
      <c r="H263" s="1">
        <f t="shared" si="0"/>
        <v>53</v>
      </c>
      <c r="I263" s="1">
        <v>63</v>
      </c>
      <c r="J263" s="1">
        <f t="shared" si="0"/>
        <v>60.75</v>
      </c>
      <c r="M263" s="1">
        <v>9</v>
      </c>
      <c r="P263" s="1">
        <v>4</v>
      </c>
      <c r="Q263" s="1">
        <v>5</v>
      </c>
      <c r="R263" s="1">
        <v>4</v>
      </c>
      <c r="S263" s="1">
        <v>51</v>
      </c>
    </row>
    <row r="264" spans="1:19" x14ac:dyDescent="0.25">
      <c r="A264" s="12">
        <v>36524</v>
      </c>
      <c r="B264" s="14" t="s">
        <v>281</v>
      </c>
      <c r="C264" s="14"/>
      <c r="D264" s="14"/>
      <c r="E264" s="1">
        <v>15</v>
      </c>
      <c r="F264" s="1">
        <f t="shared" si="0"/>
        <v>37.5</v>
      </c>
      <c r="G264" s="1">
        <v>42</v>
      </c>
      <c r="H264" s="1">
        <f t="shared" si="0"/>
        <v>44</v>
      </c>
      <c r="I264" s="1">
        <v>34</v>
      </c>
      <c r="J264" s="1">
        <f t="shared" si="0"/>
        <v>73.5</v>
      </c>
      <c r="M264" s="1">
        <v>10</v>
      </c>
      <c r="P264" s="1">
        <v>8</v>
      </c>
      <c r="Q264" s="1">
        <v>11</v>
      </c>
      <c r="R264" s="1">
        <v>2</v>
      </c>
      <c r="S264" s="1">
        <v>52</v>
      </c>
    </row>
    <row r="265" spans="1:19" x14ac:dyDescent="0.25">
      <c r="A265" s="12">
        <v>36531</v>
      </c>
      <c r="B265" s="14" t="s">
        <v>282</v>
      </c>
      <c r="C265" s="14"/>
      <c r="D265" s="14"/>
      <c r="E265" s="1">
        <v>38</v>
      </c>
      <c r="F265" s="1">
        <f t="shared" si="0"/>
        <v>41.5</v>
      </c>
      <c r="G265" s="1">
        <v>39</v>
      </c>
      <c r="H265" s="1">
        <f t="shared" si="0"/>
        <v>46.5</v>
      </c>
      <c r="I265" s="1">
        <v>70</v>
      </c>
      <c r="J265" s="1">
        <f t="shared" si="0"/>
        <v>75.5</v>
      </c>
      <c r="M265" s="1">
        <v>10</v>
      </c>
      <c r="P265" s="1">
        <v>12</v>
      </c>
      <c r="Q265" s="1">
        <v>7</v>
      </c>
      <c r="R265" s="1">
        <v>1</v>
      </c>
      <c r="S265" s="1">
        <v>1</v>
      </c>
    </row>
    <row r="266" spans="1:19" x14ac:dyDescent="0.25">
      <c r="A266" s="12">
        <v>36538</v>
      </c>
      <c r="B266" s="14" t="s">
        <v>283</v>
      </c>
      <c r="C266" s="14"/>
      <c r="D266" s="14"/>
      <c r="E266" s="1">
        <v>41</v>
      </c>
      <c r="F266" s="1">
        <f t="shared" si="0"/>
        <v>41.75</v>
      </c>
      <c r="G266" s="1">
        <v>51</v>
      </c>
      <c r="H266" s="1">
        <f t="shared" si="0"/>
        <v>51.75</v>
      </c>
      <c r="I266" s="1">
        <v>63</v>
      </c>
      <c r="J266" s="1">
        <f t="shared" si="0"/>
        <v>74.75</v>
      </c>
      <c r="M266" s="1">
        <v>13</v>
      </c>
      <c r="P266" s="1">
        <v>13</v>
      </c>
      <c r="Q266" s="1">
        <v>8</v>
      </c>
      <c r="R266" s="1">
        <v>1</v>
      </c>
      <c r="S266" s="1">
        <v>2</v>
      </c>
    </row>
    <row r="267" spans="1:19" x14ac:dyDescent="0.25">
      <c r="A267" s="12">
        <v>36545</v>
      </c>
      <c r="B267" s="14" t="s">
        <v>284</v>
      </c>
      <c r="C267" s="14"/>
      <c r="D267" s="14"/>
      <c r="E267" s="1">
        <v>31</v>
      </c>
      <c r="F267" s="1">
        <f t="shared" si="0"/>
        <v>44.25</v>
      </c>
      <c r="G267" s="1">
        <v>49</v>
      </c>
      <c r="H267" s="1">
        <f t="shared" si="0"/>
        <v>50.75</v>
      </c>
      <c r="I267" s="1">
        <v>69</v>
      </c>
      <c r="J267" s="1">
        <f t="shared" si="0"/>
        <v>69</v>
      </c>
      <c r="M267" s="1">
        <v>10</v>
      </c>
      <c r="P267" s="1">
        <v>9</v>
      </c>
      <c r="Q267" s="1">
        <v>9</v>
      </c>
      <c r="R267" s="1">
        <v>1</v>
      </c>
      <c r="S267" s="1">
        <v>3</v>
      </c>
    </row>
    <row r="268" spans="1:19" x14ac:dyDescent="0.25">
      <c r="A268" s="12">
        <v>36552</v>
      </c>
      <c r="B268" s="14" t="s">
        <v>285</v>
      </c>
      <c r="C268" s="14"/>
      <c r="D268" s="14"/>
      <c r="E268" s="1">
        <v>33</v>
      </c>
      <c r="F268" s="1">
        <f t="shared" si="0"/>
        <v>44.25</v>
      </c>
      <c r="G268" s="1">
        <v>54</v>
      </c>
      <c r="H268" s="1">
        <f t="shared" si="0"/>
        <v>48</v>
      </c>
      <c r="I268" s="1">
        <v>74</v>
      </c>
      <c r="J268" s="1">
        <f t="shared" si="0"/>
        <v>70.75</v>
      </c>
      <c r="M268" s="1">
        <v>12</v>
      </c>
      <c r="P268" s="1">
        <v>8</v>
      </c>
      <c r="Q268" s="1">
        <v>7</v>
      </c>
      <c r="R268" s="1">
        <v>3</v>
      </c>
      <c r="S268" s="1">
        <v>4</v>
      </c>
    </row>
    <row r="269" spans="1:19" x14ac:dyDescent="0.25">
      <c r="A269" s="12">
        <v>36559</v>
      </c>
      <c r="B269" s="14" t="s">
        <v>286</v>
      </c>
      <c r="C269" s="14"/>
      <c r="D269" s="14"/>
      <c r="E269" s="1">
        <v>40</v>
      </c>
      <c r="F269" s="1">
        <f t="shared" si="0"/>
        <v>45.75</v>
      </c>
      <c r="G269" s="1">
        <v>48</v>
      </c>
      <c r="H269" s="1">
        <f t="shared" si="0"/>
        <v>51</v>
      </c>
      <c r="I269" s="1">
        <v>70</v>
      </c>
      <c r="J269" s="1">
        <f t="shared" si="0"/>
        <v>72.25</v>
      </c>
      <c r="M269" s="1">
        <v>9</v>
      </c>
      <c r="P269" s="1">
        <v>6</v>
      </c>
      <c r="Q269" s="1">
        <v>12</v>
      </c>
      <c r="R269" s="1">
        <v>4</v>
      </c>
      <c r="S269" s="1">
        <v>5</v>
      </c>
    </row>
    <row r="270" spans="1:19" x14ac:dyDescent="0.25">
      <c r="A270" s="12">
        <v>36566</v>
      </c>
      <c r="B270" s="14" t="s">
        <v>287</v>
      </c>
      <c r="C270" s="14"/>
      <c r="D270" s="14"/>
      <c r="E270" s="1">
        <v>48</v>
      </c>
      <c r="F270" s="1">
        <f t="shared" si="0"/>
        <v>52.75</v>
      </c>
      <c r="G270" s="1">
        <v>55</v>
      </c>
      <c r="H270" s="1">
        <f t="shared" si="0"/>
        <v>51.75</v>
      </c>
      <c r="I270" s="1">
        <v>60</v>
      </c>
      <c r="J270" s="1">
        <f t="shared" si="0"/>
        <v>68</v>
      </c>
      <c r="M270" s="1">
        <v>10</v>
      </c>
      <c r="P270" s="1">
        <v>6</v>
      </c>
      <c r="Q270" s="1">
        <v>8</v>
      </c>
      <c r="R270" s="1">
        <v>1</v>
      </c>
      <c r="S270" s="1">
        <v>6</v>
      </c>
    </row>
    <row r="271" spans="1:19" x14ac:dyDescent="0.25">
      <c r="A271" s="12">
        <v>36573</v>
      </c>
      <c r="B271" s="14" t="s">
        <v>288</v>
      </c>
      <c r="C271" s="14"/>
      <c r="D271" s="14"/>
      <c r="E271" s="1">
        <v>42</v>
      </c>
      <c r="F271" s="1">
        <f t="shared" si="0"/>
        <v>48.25</v>
      </c>
      <c r="G271" s="1">
        <v>52</v>
      </c>
      <c r="H271" s="1">
        <f t="shared" si="0"/>
        <v>55.25</v>
      </c>
      <c r="I271" s="1">
        <v>64</v>
      </c>
      <c r="J271" s="1">
        <f t="shared" si="0"/>
        <v>66.25</v>
      </c>
      <c r="M271" s="1">
        <v>10</v>
      </c>
      <c r="P271" s="1">
        <v>8</v>
      </c>
      <c r="Q271" s="1">
        <v>5</v>
      </c>
      <c r="R271" s="1">
        <v>4</v>
      </c>
      <c r="S271" s="1">
        <v>7</v>
      </c>
    </row>
    <row r="272" spans="1:19" x14ac:dyDescent="0.25">
      <c r="A272" s="12">
        <v>36580</v>
      </c>
      <c r="B272" s="14" t="s">
        <v>289</v>
      </c>
      <c r="C272" s="14"/>
      <c r="D272" s="14"/>
      <c r="E272" s="1">
        <v>37</v>
      </c>
      <c r="F272" s="1">
        <f t="shared" si="0"/>
        <v>46</v>
      </c>
      <c r="G272" s="1">
        <v>51</v>
      </c>
      <c r="H272" s="1">
        <f t="shared" si="0"/>
        <v>54</v>
      </c>
      <c r="I272" s="1">
        <v>66</v>
      </c>
      <c r="J272" s="1">
        <f t="shared" si="0"/>
        <v>60.5</v>
      </c>
      <c r="M272" s="1">
        <v>10</v>
      </c>
      <c r="P272" s="1">
        <v>12</v>
      </c>
      <c r="Q272" s="1">
        <v>8</v>
      </c>
      <c r="R272" s="1">
        <v>2</v>
      </c>
      <c r="S272" s="1">
        <v>8</v>
      </c>
    </row>
    <row r="273" spans="1:19" x14ac:dyDescent="0.25">
      <c r="A273" s="12">
        <v>36587</v>
      </c>
      <c r="B273" s="14" t="s">
        <v>290</v>
      </c>
      <c r="C273" s="14"/>
      <c r="D273" s="14"/>
      <c r="E273" s="1">
        <v>50</v>
      </c>
      <c r="F273" s="1">
        <f t="shared" si="0"/>
        <v>42</v>
      </c>
      <c r="G273" s="1">
        <v>44</v>
      </c>
      <c r="H273" s="1">
        <f t="shared" si="0"/>
        <v>55</v>
      </c>
      <c r="I273" s="1">
        <v>65</v>
      </c>
      <c r="J273" s="1">
        <f t="shared" si="0"/>
        <v>66.25</v>
      </c>
      <c r="M273" s="1">
        <v>10</v>
      </c>
      <c r="P273" s="1">
        <v>9</v>
      </c>
      <c r="Q273" s="1">
        <v>12</v>
      </c>
      <c r="R273" s="1">
        <v>5</v>
      </c>
      <c r="S273" s="1">
        <v>9</v>
      </c>
    </row>
    <row r="274" spans="1:19" x14ac:dyDescent="0.25">
      <c r="A274" s="12">
        <v>36594</v>
      </c>
      <c r="B274" s="14" t="s">
        <v>291</v>
      </c>
      <c r="C274" s="14"/>
      <c r="D274" s="14"/>
      <c r="E274" s="1">
        <v>47</v>
      </c>
      <c r="F274" s="1">
        <f t="shared" si="0"/>
        <v>38.75</v>
      </c>
      <c r="G274" s="1">
        <v>52</v>
      </c>
      <c r="H274" s="1">
        <f t="shared" si="0"/>
        <v>49</v>
      </c>
      <c r="I274" s="1">
        <v>58</v>
      </c>
      <c r="J274" s="1">
        <f t="shared" si="0"/>
        <v>61.5</v>
      </c>
      <c r="M274" s="1">
        <v>9</v>
      </c>
      <c r="P274" s="1">
        <v>10</v>
      </c>
      <c r="Q274" s="1">
        <v>10</v>
      </c>
      <c r="R274" s="1">
        <v>3</v>
      </c>
      <c r="S274" s="1">
        <v>10</v>
      </c>
    </row>
    <row r="275" spans="1:19" x14ac:dyDescent="0.25">
      <c r="A275" s="12">
        <v>36601</v>
      </c>
      <c r="B275" s="14" t="s">
        <v>292</v>
      </c>
      <c r="C275" s="14"/>
      <c r="D275" s="14"/>
      <c r="E275" s="1">
        <v>40</v>
      </c>
      <c r="F275" s="1">
        <f t="shared" si="0"/>
        <v>37.25</v>
      </c>
      <c r="G275" s="1">
        <v>50</v>
      </c>
      <c r="H275" s="1">
        <f t="shared" si="0"/>
        <v>44.5</v>
      </c>
      <c r="I275" s="1">
        <v>68</v>
      </c>
      <c r="J275" s="1">
        <f t="shared" si="0"/>
        <v>60</v>
      </c>
      <c r="M275" s="1">
        <v>9</v>
      </c>
      <c r="P275" s="1">
        <v>6</v>
      </c>
      <c r="Q275" s="1">
        <v>8</v>
      </c>
      <c r="R275" s="1">
        <v>2</v>
      </c>
      <c r="S275" s="1">
        <v>11</v>
      </c>
    </row>
    <row r="276" spans="1:19" x14ac:dyDescent="0.25">
      <c r="A276" s="12">
        <v>36608</v>
      </c>
      <c r="B276" s="14" t="s">
        <v>293</v>
      </c>
      <c r="C276" s="14"/>
      <c r="D276" s="14"/>
      <c r="E276" s="1">
        <v>42</v>
      </c>
      <c r="F276" s="1">
        <f t="shared" si="0"/>
        <v>38.25</v>
      </c>
      <c r="G276" s="1">
        <v>50</v>
      </c>
      <c r="H276" s="1">
        <f t="shared" si="0"/>
        <v>45.5</v>
      </c>
      <c r="I276" s="1">
        <v>59</v>
      </c>
      <c r="J276" s="1">
        <f t="shared" si="0"/>
        <v>61.25</v>
      </c>
      <c r="M276" s="1">
        <v>13</v>
      </c>
      <c r="P276" s="1">
        <v>9</v>
      </c>
      <c r="Q276" s="1">
        <v>5</v>
      </c>
      <c r="R276" s="1">
        <v>3</v>
      </c>
      <c r="S276" s="1">
        <v>12</v>
      </c>
    </row>
    <row r="277" spans="1:19" x14ac:dyDescent="0.25">
      <c r="A277" s="12">
        <v>36615</v>
      </c>
      <c r="B277" s="14" t="s">
        <v>294</v>
      </c>
      <c r="C277" s="14"/>
      <c r="D277" s="14"/>
      <c r="E277" s="1">
        <v>34</v>
      </c>
      <c r="F277" s="1">
        <f t="shared" ref="F277:J340" si="1">AVERAGE(E225,E173,E121,E69)</f>
        <v>34.5</v>
      </c>
      <c r="G277" s="1">
        <v>53</v>
      </c>
      <c r="H277" s="1">
        <f t="shared" si="1"/>
        <v>45.25</v>
      </c>
      <c r="I277" s="1">
        <v>66</v>
      </c>
      <c r="J277" s="1">
        <f t="shared" si="1"/>
        <v>51.25</v>
      </c>
      <c r="M277" s="1">
        <v>4</v>
      </c>
      <c r="P277" s="1">
        <v>13</v>
      </c>
      <c r="Q277" s="1">
        <v>6</v>
      </c>
      <c r="R277" s="1">
        <v>0</v>
      </c>
      <c r="S277" s="1">
        <v>13</v>
      </c>
    </row>
    <row r="278" spans="1:19" x14ac:dyDescent="0.25">
      <c r="A278" s="12">
        <v>36622</v>
      </c>
      <c r="B278" s="14" t="s">
        <v>295</v>
      </c>
      <c r="C278" s="14"/>
      <c r="D278" s="14"/>
      <c r="E278" s="1">
        <v>26</v>
      </c>
      <c r="F278" s="1">
        <f t="shared" si="1"/>
        <v>31.25</v>
      </c>
      <c r="G278" s="1">
        <v>46</v>
      </c>
      <c r="H278" s="1">
        <f t="shared" si="1"/>
        <v>41.25</v>
      </c>
      <c r="I278" s="1">
        <v>53</v>
      </c>
      <c r="J278" s="1">
        <f t="shared" si="1"/>
        <v>54</v>
      </c>
      <c r="M278" s="1">
        <v>8</v>
      </c>
      <c r="P278" s="1">
        <v>7</v>
      </c>
      <c r="Q278" s="1">
        <v>12</v>
      </c>
      <c r="R278" s="1">
        <v>3</v>
      </c>
      <c r="S278" s="1">
        <v>14</v>
      </c>
    </row>
    <row r="279" spans="1:19" x14ac:dyDescent="0.25">
      <c r="A279" s="12">
        <v>36629</v>
      </c>
      <c r="B279" s="14" t="s">
        <v>296</v>
      </c>
      <c r="C279" s="14"/>
      <c r="D279" s="14"/>
      <c r="E279" s="1">
        <v>24</v>
      </c>
      <c r="F279" s="1">
        <f t="shared" si="1"/>
        <v>28.25</v>
      </c>
      <c r="G279" s="1">
        <v>47</v>
      </c>
      <c r="H279" s="1">
        <f t="shared" si="1"/>
        <v>45.25</v>
      </c>
      <c r="I279" s="1">
        <v>59</v>
      </c>
      <c r="J279" s="1">
        <f t="shared" si="1"/>
        <v>54</v>
      </c>
      <c r="M279" s="1">
        <v>8</v>
      </c>
      <c r="P279" s="1">
        <v>7</v>
      </c>
      <c r="Q279" s="1">
        <v>8</v>
      </c>
      <c r="R279" s="1">
        <v>0</v>
      </c>
      <c r="S279" s="1">
        <v>15</v>
      </c>
    </row>
    <row r="280" spans="1:19" x14ac:dyDescent="0.25">
      <c r="A280" s="12">
        <v>36636</v>
      </c>
      <c r="B280" s="14" t="s">
        <v>297</v>
      </c>
      <c r="C280" s="14"/>
      <c r="D280" s="14"/>
      <c r="E280" s="1">
        <v>33</v>
      </c>
      <c r="F280" s="1">
        <f t="shared" si="1"/>
        <v>23</v>
      </c>
      <c r="G280" s="1">
        <v>46</v>
      </c>
      <c r="H280" s="1">
        <f t="shared" si="1"/>
        <v>41.25</v>
      </c>
      <c r="I280" s="1">
        <v>57</v>
      </c>
      <c r="J280" s="1">
        <f t="shared" si="1"/>
        <v>52.75</v>
      </c>
      <c r="M280" s="1">
        <v>10</v>
      </c>
      <c r="P280" s="1">
        <v>4</v>
      </c>
      <c r="Q280" s="1">
        <v>11</v>
      </c>
      <c r="R280" s="1">
        <v>5</v>
      </c>
      <c r="S280" s="1">
        <v>16</v>
      </c>
    </row>
    <row r="281" spans="1:19" x14ac:dyDescent="0.25">
      <c r="A281" s="12">
        <v>36643</v>
      </c>
      <c r="B281" s="14" t="s">
        <v>298</v>
      </c>
      <c r="C281" s="14"/>
      <c r="D281" s="14"/>
      <c r="E281" s="1">
        <v>28</v>
      </c>
      <c r="F281" s="1">
        <f t="shared" si="1"/>
        <v>22</v>
      </c>
      <c r="G281" s="1">
        <v>39</v>
      </c>
      <c r="H281" s="1">
        <f t="shared" si="1"/>
        <v>44</v>
      </c>
      <c r="I281" s="1">
        <v>59</v>
      </c>
      <c r="J281" s="1">
        <f t="shared" si="1"/>
        <v>55</v>
      </c>
      <c r="M281" s="1">
        <v>11</v>
      </c>
      <c r="P281" s="1">
        <v>10</v>
      </c>
      <c r="Q281" s="1">
        <v>5</v>
      </c>
      <c r="R281" s="1">
        <v>3</v>
      </c>
      <c r="S281" s="1">
        <v>17</v>
      </c>
    </row>
    <row r="282" spans="1:19" x14ac:dyDescent="0.25">
      <c r="A282" s="12">
        <v>36650</v>
      </c>
      <c r="B282" s="14" t="s">
        <v>299</v>
      </c>
      <c r="C282" s="14"/>
      <c r="D282" s="14"/>
      <c r="E282" s="1">
        <v>29</v>
      </c>
      <c r="F282" s="1">
        <f t="shared" si="1"/>
        <v>18.5</v>
      </c>
      <c r="G282" s="1">
        <v>39</v>
      </c>
      <c r="H282" s="1">
        <f t="shared" si="1"/>
        <v>46.75</v>
      </c>
      <c r="I282" s="1">
        <v>47</v>
      </c>
      <c r="J282" s="1">
        <f t="shared" si="1"/>
        <v>49</v>
      </c>
      <c r="M282" s="1">
        <v>7</v>
      </c>
      <c r="P282" s="1">
        <v>8</v>
      </c>
      <c r="Q282" s="1">
        <v>8</v>
      </c>
      <c r="R282" s="1">
        <v>2</v>
      </c>
      <c r="S282" s="1">
        <v>18</v>
      </c>
    </row>
    <row r="283" spans="1:19" x14ac:dyDescent="0.25">
      <c r="A283" s="12">
        <v>36657</v>
      </c>
      <c r="B283" s="14" t="s">
        <v>300</v>
      </c>
      <c r="C283" s="14"/>
      <c r="D283" s="14"/>
      <c r="E283" s="1">
        <v>23</v>
      </c>
      <c r="F283" s="1">
        <f t="shared" si="1"/>
        <v>25.5</v>
      </c>
      <c r="G283" s="1">
        <v>44</v>
      </c>
      <c r="H283" s="1">
        <f t="shared" si="1"/>
        <v>36.5</v>
      </c>
      <c r="I283" s="1">
        <v>59</v>
      </c>
      <c r="J283" s="1">
        <f t="shared" si="1"/>
        <v>53.75</v>
      </c>
      <c r="M283" s="1">
        <v>12</v>
      </c>
      <c r="P283" s="1">
        <v>12</v>
      </c>
      <c r="Q283" s="1">
        <v>5</v>
      </c>
      <c r="R283" s="1">
        <v>0</v>
      </c>
      <c r="S283" s="1">
        <v>19</v>
      </c>
    </row>
    <row r="284" spans="1:19" x14ac:dyDescent="0.25">
      <c r="A284" s="12">
        <v>36664</v>
      </c>
      <c r="B284" s="14" t="s">
        <v>301</v>
      </c>
      <c r="C284" s="14"/>
      <c r="D284" s="14"/>
      <c r="E284" s="1">
        <v>23</v>
      </c>
      <c r="F284" s="1">
        <f t="shared" si="1"/>
        <v>25.5</v>
      </c>
      <c r="G284" s="1">
        <v>46</v>
      </c>
      <c r="H284" s="1">
        <f t="shared" si="1"/>
        <v>42.25</v>
      </c>
      <c r="I284" s="1">
        <v>63</v>
      </c>
      <c r="J284" s="1">
        <f t="shared" si="1"/>
        <v>49.25</v>
      </c>
      <c r="M284" s="1">
        <v>10</v>
      </c>
      <c r="P284" s="1">
        <v>12</v>
      </c>
      <c r="Q284" s="1">
        <v>12</v>
      </c>
      <c r="R284" s="1">
        <v>2</v>
      </c>
      <c r="S284" s="1">
        <v>20</v>
      </c>
    </row>
    <row r="285" spans="1:19" x14ac:dyDescent="0.25">
      <c r="A285" s="12">
        <v>36671</v>
      </c>
      <c r="B285" s="14" t="s">
        <v>302</v>
      </c>
      <c r="C285" s="14"/>
      <c r="D285" s="14"/>
      <c r="E285" s="1">
        <v>27</v>
      </c>
      <c r="F285" s="1">
        <f t="shared" si="1"/>
        <v>28.25</v>
      </c>
      <c r="G285" s="1">
        <v>42</v>
      </c>
      <c r="H285" s="1">
        <f t="shared" si="1"/>
        <v>40.25</v>
      </c>
      <c r="I285" s="1">
        <v>58</v>
      </c>
      <c r="J285" s="1">
        <f t="shared" si="1"/>
        <v>44.75</v>
      </c>
      <c r="M285" s="1">
        <v>10</v>
      </c>
      <c r="P285" s="1">
        <v>10</v>
      </c>
      <c r="Q285" s="1">
        <v>11</v>
      </c>
      <c r="R285" s="1">
        <v>0</v>
      </c>
      <c r="S285" s="1">
        <v>21</v>
      </c>
    </row>
    <row r="286" spans="1:19" x14ac:dyDescent="0.25">
      <c r="A286" s="12">
        <v>36678</v>
      </c>
      <c r="B286" s="14" t="s">
        <v>303</v>
      </c>
      <c r="C286" s="14"/>
      <c r="D286" s="14"/>
      <c r="E286" s="1">
        <v>23</v>
      </c>
      <c r="F286" s="1">
        <f t="shared" si="1"/>
        <v>25.25</v>
      </c>
      <c r="G286" s="1">
        <v>43</v>
      </c>
      <c r="H286" s="1">
        <f t="shared" si="1"/>
        <v>39.5</v>
      </c>
      <c r="I286" s="1">
        <v>56</v>
      </c>
      <c r="J286" s="1">
        <f t="shared" si="1"/>
        <v>49.75</v>
      </c>
      <c r="M286" s="1">
        <v>11</v>
      </c>
      <c r="P286" s="1">
        <v>6</v>
      </c>
      <c r="Q286" s="1">
        <v>7</v>
      </c>
      <c r="R286" s="1">
        <v>3</v>
      </c>
      <c r="S286" s="1">
        <v>22</v>
      </c>
    </row>
    <row r="287" spans="1:19" x14ac:dyDescent="0.25">
      <c r="A287" s="12">
        <v>36685</v>
      </c>
      <c r="B287" s="14" t="s">
        <v>304</v>
      </c>
      <c r="C287" s="14"/>
      <c r="D287" s="14"/>
      <c r="E287" s="1">
        <v>25</v>
      </c>
      <c r="F287" s="1">
        <f t="shared" si="1"/>
        <v>26.25</v>
      </c>
      <c r="G287" s="1">
        <v>51</v>
      </c>
      <c r="H287" s="1">
        <f t="shared" si="1"/>
        <v>42.25</v>
      </c>
      <c r="I287" s="1">
        <v>53</v>
      </c>
      <c r="J287" s="1">
        <f t="shared" si="1"/>
        <v>56.5</v>
      </c>
      <c r="M287" s="1">
        <v>11</v>
      </c>
      <c r="P287" s="1">
        <v>11</v>
      </c>
      <c r="Q287" s="1">
        <v>10</v>
      </c>
      <c r="R287" s="1">
        <v>1</v>
      </c>
      <c r="S287" s="1">
        <v>23</v>
      </c>
    </row>
    <row r="288" spans="1:19" x14ac:dyDescent="0.25">
      <c r="A288" s="12">
        <v>36692</v>
      </c>
      <c r="B288" s="14" t="s">
        <v>305</v>
      </c>
      <c r="C288" s="14"/>
      <c r="D288" s="14"/>
      <c r="E288" s="1">
        <v>27</v>
      </c>
      <c r="F288" s="1">
        <f t="shared" si="1"/>
        <v>27.25</v>
      </c>
      <c r="G288" s="1">
        <v>42</v>
      </c>
      <c r="H288" s="1">
        <f t="shared" si="1"/>
        <v>43.25</v>
      </c>
      <c r="I288" s="1">
        <v>67</v>
      </c>
      <c r="J288" s="1">
        <f t="shared" si="1"/>
        <v>58</v>
      </c>
      <c r="M288" s="1">
        <v>10</v>
      </c>
      <c r="P288" s="1">
        <v>15</v>
      </c>
      <c r="Q288" s="1">
        <v>10</v>
      </c>
      <c r="R288" s="1">
        <v>5</v>
      </c>
      <c r="S288" s="1">
        <v>24</v>
      </c>
    </row>
    <row r="289" spans="1:19" x14ac:dyDescent="0.25">
      <c r="A289" s="12">
        <v>36699</v>
      </c>
      <c r="B289" s="14" t="s">
        <v>306</v>
      </c>
      <c r="C289" s="14"/>
      <c r="D289" s="14"/>
      <c r="E289" s="1">
        <v>27</v>
      </c>
      <c r="F289" s="1">
        <f t="shared" si="1"/>
        <v>29.25</v>
      </c>
      <c r="G289" s="1">
        <v>41</v>
      </c>
      <c r="H289" s="1">
        <f t="shared" si="1"/>
        <v>42.25</v>
      </c>
      <c r="I289" s="1">
        <v>77</v>
      </c>
      <c r="J289" s="1">
        <f t="shared" si="1"/>
        <v>56</v>
      </c>
      <c r="M289" s="1">
        <v>10</v>
      </c>
      <c r="P289" s="1">
        <v>10</v>
      </c>
      <c r="Q289" s="1">
        <v>12</v>
      </c>
      <c r="R289" s="1">
        <v>5</v>
      </c>
      <c r="S289" s="1">
        <v>25</v>
      </c>
    </row>
    <row r="290" spans="1:19" x14ac:dyDescent="0.25">
      <c r="A290" s="12">
        <v>36706</v>
      </c>
      <c r="B290" s="14" t="s">
        <v>307</v>
      </c>
      <c r="C290" s="14"/>
      <c r="D290" s="14"/>
      <c r="E290" s="1">
        <v>36</v>
      </c>
      <c r="F290" s="1">
        <f t="shared" si="1"/>
        <v>29.25</v>
      </c>
      <c r="G290" s="1">
        <v>48</v>
      </c>
      <c r="H290" s="1">
        <f t="shared" si="1"/>
        <v>44.75</v>
      </c>
      <c r="I290" s="1">
        <v>64</v>
      </c>
      <c r="J290" s="1">
        <f t="shared" si="1"/>
        <v>62.75</v>
      </c>
      <c r="M290" s="1">
        <v>7</v>
      </c>
      <c r="P290" s="1">
        <v>12</v>
      </c>
      <c r="Q290" s="1">
        <v>14</v>
      </c>
      <c r="R290" s="1">
        <v>9</v>
      </c>
      <c r="S290" s="1">
        <v>26</v>
      </c>
    </row>
    <row r="291" spans="1:19" x14ac:dyDescent="0.25">
      <c r="A291" s="12">
        <v>36713</v>
      </c>
      <c r="B291" s="14" t="s">
        <v>308</v>
      </c>
      <c r="C291" s="14"/>
      <c r="D291" s="14"/>
      <c r="E291" s="1">
        <v>37</v>
      </c>
      <c r="F291" s="1">
        <f t="shared" si="1"/>
        <v>32.75</v>
      </c>
      <c r="G291" s="1">
        <v>43</v>
      </c>
      <c r="H291" s="1">
        <f t="shared" si="1"/>
        <v>43.5</v>
      </c>
      <c r="I291" s="1">
        <v>73</v>
      </c>
      <c r="J291" s="1">
        <f t="shared" si="1"/>
        <v>58.75</v>
      </c>
      <c r="M291" s="1">
        <v>5</v>
      </c>
      <c r="P291" s="1">
        <v>11</v>
      </c>
      <c r="Q291" s="1">
        <v>10</v>
      </c>
      <c r="R291" s="1">
        <v>6</v>
      </c>
      <c r="S291" s="1">
        <v>27</v>
      </c>
    </row>
    <row r="292" spans="1:19" x14ac:dyDescent="0.25">
      <c r="A292" s="12">
        <v>36720</v>
      </c>
      <c r="B292" s="14" t="s">
        <v>309</v>
      </c>
      <c r="C292" s="14"/>
      <c r="D292" s="14"/>
      <c r="E292" s="1">
        <v>34</v>
      </c>
      <c r="F292" s="1">
        <f t="shared" si="1"/>
        <v>28.25</v>
      </c>
      <c r="G292" s="1">
        <v>52</v>
      </c>
      <c r="H292" s="1">
        <f t="shared" si="1"/>
        <v>44.75</v>
      </c>
      <c r="I292" s="1">
        <v>59</v>
      </c>
      <c r="J292" s="1">
        <f t="shared" si="1"/>
        <v>62.25</v>
      </c>
      <c r="M292" s="1">
        <v>7</v>
      </c>
      <c r="P292" s="1">
        <v>9</v>
      </c>
      <c r="Q292" s="1">
        <v>8</v>
      </c>
      <c r="R292" s="1">
        <v>5</v>
      </c>
      <c r="S292" s="1">
        <v>28</v>
      </c>
    </row>
    <row r="293" spans="1:19" x14ac:dyDescent="0.25">
      <c r="A293" s="12">
        <v>36727</v>
      </c>
      <c r="B293" s="14" t="s">
        <v>310</v>
      </c>
      <c r="C293" s="14"/>
      <c r="D293" s="14"/>
      <c r="E293" s="1">
        <v>27</v>
      </c>
      <c r="F293" s="1">
        <f t="shared" si="1"/>
        <v>29</v>
      </c>
      <c r="G293" s="1">
        <v>57</v>
      </c>
      <c r="H293" s="1">
        <f t="shared" si="1"/>
        <v>46.25</v>
      </c>
      <c r="I293" s="1">
        <v>63</v>
      </c>
      <c r="J293" s="1">
        <f t="shared" si="1"/>
        <v>58.5</v>
      </c>
      <c r="M293" s="1">
        <v>9</v>
      </c>
      <c r="P293" s="1">
        <v>14</v>
      </c>
      <c r="Q293" s="1">
        <v>9</v>
      </c>
      <c r="R293" s="1">
        <v>1</v>
      </c>
      <c r="S293" s="1">
        <v>29</v>
      </c>
    </row>
    <row r="294" spans="1:19" x14ac:dyDescent="0.25">
      <c r="A294" s="12">
        <v>36734</v>
      </c>
      <c r="B294" s="14" t="s">
        <v>311</v>
      </c>
      <c r="C294" s="14"/>
      <c r="D294" s="14"/>
      <c r="E294" s="1">
        <v>35</v>
      </c>
      <c r="F294" s="1">
        <f t="shared" si="1"/>
        <v>32.75</v>
      </c>
      <c r="G294" s="1">
        <v>49</v>
      </c>
      <c r="H294" s="1">
        <f t="shared" si="1"/>
        <v>51.25</v>
      </c>
      <c r="I294" s="1">
        <v>61</v>
      </c>
      <c r="J294" s="1">
        <f t="shared" si="1"/>
        <v>59.75</v>
      </c>
      <c r="M294" s="1">
        <v>9</v>
      </c>
      <c r="P294" s="1">
        <v>15</v>
      </c>
      <c r="Q294" s="1">
        <v>11</v>
      </c>
      <c r="R294" s="1">
        <v>5</v>
      </c>
      <c r="S294" s="1">
        <v>30</v>
      </c>
    </row>
    <row r="295" spans="1:19" x14ac:dyDescent="0.25">
      <c r="A295" s="12">
        <v>36741</v>
      </c>
      <c r="B295" s="14" t="s">
        <v>312</v>
      </c>
      <c r="C295" s="14"/>
      <c r="D295" s="14"/>
      <c r="E295" s="1">
        <v>28</v>
      </c>
      <c r="F295" s="1">
        <f t="shared" si="1"/>
        <v>35</v>
      </c>
      <c r="G295" s="1">
        <v>51</v>
      </c>
      <c r="H295" s="1">
        <f t="shared" si="1"/>
        <v>51.25</v>
      </c>
      <c r="I295" s="1">
        <v>75</v>
      </c>
      <c r="J295" s="1">
        <f t="shared" si="1"/>
        <v>58</v>
      </c>
      <c r="M295" s="1">
        <v>5</v>
      </c>
      <c r="P295" s="1">
        <v>15</v>
      </c>
      <c r="Q295" s="1">
        <v>11</v>
      </c>
      <c r="R295" s="1">
        <v>1</v>
      </c>
      <c r="S295" s="1">
        <v>31</v>
      </c>
    </row>
    <row r="296" spans="1:19" x14ac:dyDescent="0.25">
      <c r="A296" s="12">
        <v>36748</v>
      </c>
      <c r="B296" s="14" t="s">
        <v>313</v>
      </c>
      <c r="C296" s="14"/>
      <c r="D296" s="14"/>
      <c r="E296" s="1">
        <v>37</v>
      </c>
      <c r="F296" s="1">
        <f t="shared" si="1"/>
        <v>33.75</v>
      </c>
      <c r="G296" s="1">
        <v>44</v>
      </c>
      <c r="H296" s="1">
        <f t="shared" si="1"/>
        <v>45.75</v>
      </c>
      <c r="I296" s="1">
        <v>68</v>
      </c>
      <c r="J296" s="1">
        <f t="shared" si="1"/>
        <v>59.75</v>
      </c>
      <c r="M296" s="1">
        <v>9</v>
      </c>
      <c r="P296" s="1">
        <v>17</v>
      </c>
      <c r="Q296" s="1">
        <v>12</v>
      </c>
      <c r="R296" s="1">
        <v>4</v>
      </c>
      <c r="S296" s="1">
        <v>32</v>
      </c>
    </row>
    <row r="297" spans="1:19" x14ac:dyDescent="0.25">
      <c r="A297" s="12">
        <v>36755</v>
      </c>
      <c r="B297" s="14" t="s">
        <v>314</v>
      </c>
      <c r="C297" s="14"/>
      <c r="D297" s="14"/>
      <c r="E297" s="1">
        <v>30</v>
      </c>
      <c r="F297" s="1">
        <f t="shared" si="1"/>
        <v>33.5</v>
      </c>
      <c r="G297" s="1">
        <v>52</v>
      </c>
      <c r="H297" s="1">
        <f t="shared" si="1"/>
        <v>46</v>
      </c>
      <c r="I297" s="1">
        <v>67</v>
      </c>
      <c r="J297" s="1">
        <f t="shared" si="1"/>
        <v>54.25</v>
      </c>
      <c r="M297" s="1">
        <v>10</v>
      </c>
      <c r="P297" s="1">
        <v>11</v>
      </c>
      <c r="Q297" s="1">
        <v>19</v>
      </c>
      <c r="R297" s="1">
        <v>1</v>
      </c>
      <c r="S297" s="1">
        <v>33</v>
      </c>
    </row>
    <row r="298" spans="1:19" x14ac:dyDescent="0.25">
      <c r="A298" s="12">
        <v>36762</v>
      </c>
      <c r="B298" s="14" t="s">
        <v>315</v>
      </c>
      <c r="C298" s="14"/>
      <c r="D298" s="14"/>
      <c r="E298" s="1">
        <v>39</v>
      </c>
      <c r="F298" s="1">
        <f t="shared" si="1"/>
        <v>31.5</v>
      </c>
      <c r="G298" s="1">
        <v>54</v>
      </c>
      <c r="H298" s="1">
        <f t="shared" si="1"/>
        <v>49.75</v>
      </c>
      <c r="I298" s="1">
        <v>74</v>
      </c>
      <c r="J298" s="1">
        <f t="shared" si="1"/>
        <v>58.5</v>
      </c>
      <c r="M298" s="1">
        <v>11</v>
      </c>
      <c r="P298" s="1">
        <v>8</v>
      </c>
      <c r="Q298" s="1">
        <v>5</v>
      </c>
      <c r="R298" s="1">
        <v>1</v>
      </c>
      <c r="S298" s="1">
        <v>34</v>
      </c>
    </row>
    <row r="299" spans="1:19" x14ac:dyDescent="0.25">
      <c r="A299" s="12">
        <v>36769</v>
      </c>
      <c r="B299" s="14" t="s">
        <v>316</v>
      </c>
      <c r="C299" s="14"/>
      <c r="D299" s="14"/>
      <c r="E299" s="1">
        <v>34</v>
      </c>
      <c r="F299" s="1">
        <f t="shared" si="1"/>
        <v>35</v>
      </c>
      <c r="G299" s="1">
        <v>54</v>
      </c>
      <c r="H299" s="1">
        <f t="shared" si="1"/>
        <v>45.25</v>
      </c>
      <c r="I299" s="1">
        <v>71</v>
      </c>
      <c r="J299" s="1">
        <f t="shared" si="1"/>
        <v>56.25</v>
      </c>
      <c r="M299" s="1">
        <v>4</v>
      </c>
      <c r="P299" s="1">
        <v>9</v>
      </c>
      <c r="Q299" s="1">
        <v>6</v>
      </c>
      <c r="R299" s="1">
        <v>6</v>
      </c>
      <c r="S299" s="1">
        <v>35</v>
      </c>
    </row>
    <row r="300" spans="1:19" x14ac:dyDescent="0.25">
      <c r="A300" s="12">
        <v>36776</v>
      </c>
      <c r="B300" s="14" t="s">
        <v>317</v>
      </c>
      <c r="C300" s="14"/>
      <c r="D300" s="14"/>
      <c r="E300" s="1">
        <v>45</v>
      </c>
      <c r="F300" s="1">
        <f t="shared" si="1"/>
        <v>34.5</v>
      </c>
      <c r="G300" s="1">
        <v>48</v>
      </c>
      <c r="H300" s="1">
        <f t="shared" si="1"/>
        <v>46</v>
      </c>
      <c r="I300" s="1">
        <v>64</v>
      </c>
      <c r="J300" s="1">
        <f t="shared" si="1"/>
        <v>58</v>
      </c>
      <c r="M300" s="1">
        <v>9</v>
      </c>
      <c r="P300" s="1">
        <v>12</v>
      </c>
      <c r="Q300" s="1">
        <v>10</v>
      </c>
      <c r="R300" s="1">
        <v>0</v>
      </c>
      <c r="S300" s="1">
        <v>36</v>
      </c>
    </row>
    <row r="301" spans="1:19" x14ac:dyDescent="0.25">
      <c r="A301" s="12">
        <v>36783</v>
      </c>
      <c r="B301" s="14" t="s">
        <v>318</v>
      </c>
      <c r="C301" s="14"/>
      <c r="D301" s="14"/>
      <c r="E301" s="1">
        <v>48</v>
      </c>
      <c r="F301" s="1">
        <f t="shared" si="1"/>
        <v>38.5</v>
      </c>
      <c r="G301" s="1">
        <v>49</v>
      </c>
      <c r="H301" s="1">
        <f t="shared" si="1"/>
        <v>47</v>
      </c>
      <c r="I301" s="1">
        <v>67</v>
      </c>
      <c r="J301" s="1">
        <f t="shared" si="1"/>
        <v>60.5</v>
      </c>
      <c r="M301" s="1">
        <v>15</v>
      </c>
      <c r="P301" s="1">
        <v>13</v>
      </c>
      <c r="Q301" s="1">
        <v>10</v>
      </c>
      <c r="R301" s="1">
        <v>4</v>
      </c>
      <c r="S301" s="1">
        <v>37</v>
      </c>
    </row>
    <row r="302" spans="1:19" x14ac:dyDescent="0.25">
      <c r="A302" s="12">
        <v>36790</v>
      </c>
      <c r="B302" s="14" t="s">
        <v>319</v>
      </c>
      <c r="C302" s="14"/>
      <c r="D302" s="14"/>
      <c r="E302" s="1">
        <v>50</v>
      </c>
      <c r="F302" s="1">
        <f t="shared" si="1"/>
        <v>42.25</v>
      </c>
      <c r="G302" s="1">
        <v>49</v>
      </c>
      <c r="H302" s="1">
        <f t="shared" si="1"/>
        <v>51.75</v>
      </c>
      <c r="I302" s="1">
        <v>74</v>
      </c>
      <c r="J302" s="1">
        <f t="shared" si="1"/>
        <v>62</v>
      </c>
      <c r="M302" s="1">
        <v>10</v>
      </c>
      <c r="P302" s="1">
        <v>10</v>
      </c>
      <c r="Q302" s="1">
        <v>14</v>
      </c>
      <c r="R302" s="1">
        <v>3</v>
      </c>
      <c r="S302" s="1">
        <v>38</v>
      </c>
    </row>
    <row r="303" spans="1:19" x14ac:dyDescent="0.25">
      <c r="A303" s="12">
        <v>36797</v>
      </c>
      <c r="B303" s="14" t="s">
        <v>320</v>
      </c>
      <c r="C303" s="14"/>
      <c r="D303" s="14"/>
      <c r="E303" s="1">
        <v>41</v>
      </c>
      <c r="F303" s="1">
        <f t="shared" si="1"/>
        <v>37.75</v>
      </c>
      <c r="G303" s="1">
        <v>55</v>
      </c>
      <c r="H303" s="1">
        <f t="shared" si="1"/>
        <v>44.5</v>
      </c>
      <c r="I303" s="1">
        <v>67</v>
      </c>
      <c r="J303" s="1">
        <f t="shared" si="1"/>
        <v>58</v>
      </c>
      <c r="M303" s="1">
        <v>8</v>
      </c>
      <c r="P303" s="1">
        <v>6</v>
      </c>
      <c r="Q303" s="1">
        <v>10</v>
      </c>
      <c r="R303" s="1">
        <v>6</v>
      </c>
      <c r="S303" s="1">
        <v>39</v>
      </c>
    </row>
    <row r="304" spans="1:19" x14ac:dyDescent="0.25">
      <c r="A304" s="12">
        <v>36804</v>
      </c>
      <c r="B304" s="14" t="s">
        <v>321</v>
      </c>
      <c r="C304" s="14"/>
      <c r="D304" s="14"/>
      <c r="E304" s="1">
        <v>40</v>
      </c>
      <c r="F304" s="1">
        <f t="shared" si="1"/>
        <v>37.5</v>
      </c>
      <c r="G304" s="1">
        <v>52</v>
      </c>
      <c r="H304" s="1">
        <f t="shared" si="1"/>
        <v>49</v>
      </c>
      <c r="I304" s="1">
        <v>65</v>
      </c>
      <c r="J304" s="1">
        <f t="shared" si="1"/>
        <v>69.75</v>
      </c>
      <c r="M304" s="1">
        <v>8</v>
      </c>
      <c r="P304" s="1">
        <v>8</v>
      </c>
      <c r="Q304" s="1">
        <v>11</v>
      </c>
      <c r="R304" s="1">
        <v>4</v>
      </c>
      <c r="S304" s="1">
        <v>40</v>
      </c>
    </row>
    <row r="305" spans="1:19" x14ac:dyDescent="0.25">
      <c r="A305" s="12">
        <v>36811</v>
      </c>
      <c r="B305" s="14" t="s">
        <v>322</v>
      </c>
      <c r="C305" s="14"/>
      <c r="D305" s="14"/>
      <c r="E305" s="1">
        <v>48</v>
      </c>
      <c r="F305" s="1">
        <f t="shared" si="1"/>
        <v>37.25</v>
      </c>
      <c r="G305" s="1">
        <v>56</v>
      </c>
      <c r="H305" s="1">
        <f t="shared" si="1"/>
        <v>51.25</v>
      </c>
      <c r="I305" s="1">
        <v>74</v>
      </c>
      <c r="J305" s="1">
        <f t="shared" si="1"/>
        <v>72.25</v>
      </c>
      <c r="M305" s="1">
        <v>11</v>
      </c>
      <c r="P305" s="1">
        <v>8</v>
      </c>
      <c r="Q305" s="1">
        <v>11</v>
      </c>
      <c r="R305" s="1">
        <v>4</v>
      </c>
      <c r="S305" s="1">
        <v>41</v>
      </c>
    </row>
    <row r="306" spans="1:19" x14ac:dyDescent="0.25">
      <c r="A306" s="12">
        <v>36818</v>
      </c>
      <c r="B306" s="14" t="s">
        <v>323</v>
      </c>
      <c r="C306" s="14"/>
      <c r="D306" s="14"/>
      <c r="E306" s="1">
        <v>36</v>
      </c>
      <c r="F306" s="1">
        <f t="shared" si="1"/>
        <v>41</v>
      </c>
      <c r="G306" s="1">
        <v>55</v>
      </c>
      <c r="H306" s="1">
        <f t="shared" si="1"/>
        <v>53</v>
      </c>
      <c r="I306" s="1">
        <v>61</v>
      </c>
      <c r="J306" s="1">
        <f t="shared" si="1"/>
        <v>66.25</v>
      </c>
      <c r="M306" s="1">
        <v>11</v>
      </c>
      <c r="P306" s="1">
        <v>20</v>
      </c>
      <c r="Q306" s="1">
        <v>10</v>
      </c>
      <c r="R306" s="1">
        <v>6</v>
      </c>
      <c r="S306" s="1">
        <v>42</v>
      </c>
    </row>
    <row r="307" spans="1:19" x14ac:dyDescent="0.25">
      <c r="A307" s="12">
        <v>36825</v>
      </c>
      <c r="B307" s="14" t="s">
        <v>324</v>
      </c>
      <c r="C307" s="14"/>
      <c r="D307" s="14"/>
      <c r="E307" s="1">
        <v>25</v>
      </c>
      <c r="F307" s="1">
        <f t="shared" si="1"/>
        <v>42</v>
      </c>
      <c r="G307" s="1">
        <v>52</v>
      </c>
      <c r="H307" s="1">
        <f t="shared" si="1"/>
        <v>54</v>
      </c>
      <c r="I307" s="1">
        <v>56</v>
      </c>
      <c r="J307" s="1">
        <f t="shared" si="1"/>
        <v>75</v>
      </c>
      <c r="M307" s="1">
        <v>13</v>
      </c>
      <c r="P307" s="1">
        <v>20</v>
      </c>
      <c r="Q307" s="1">
        <v>9</v>
      </c>
      <c r="R307" s="1">
        <v>5</v>
      </c>
      <c r="S307" s="1">
        <v>43</v>
      </c>
    </row>
    <row r="308" spans="1:19" x14ac:dyDescent="0.25">
      <c r="A308" s="12">
        <v>36832</v>
      </c>
      <c r="B308" s="14" t="s">
        <v>325</v>
      </c>
      <c r="C308" s="14"/>
      <c r="D308" s="14"/>
      <c r="E308" s="1">
        <v>26</v>
      </c>
      <c r="F308" s="1">
        <f t="shared" si="1"/>
        <v>45.5</v>
      </c>
      <c r="G308" s="1">
        <v>54</v>
      </c>
      <c r="H308" s="1">
        <f t="shared" si="1"/>
        <v>54.5</v>
      </c>
      <c r="I308" s="1">
        <v>71</v>
      </c>
      <c r="J308" s="1">
        <f t="shared" si="1"/>
        <v>72.5</v>
      </c>
      <c r="M308" s="1">
        <v>10</v>
      </c>
      <c r="P308" s="1">
        <v>16</v>
      </c>
      <c r="Q308" s="1">
        <v>9</v>
      </c>
      <c r="R308" s="1">
        <v>3</v>
      </c>
      <c r="S308" s="1">
        <v>44</v>
      </c>
    </row>
    <row r="309" spans="1:19" x14ac:dyDescent="0.25">
      <c r="A309" s="12">
        <v>36839</v>
      </c>
      <c r="B309" s="14" t="s">
        <v>326</v>
      </c>
      <c r="C309" s="14"/>
      <c r="D309" s="14"/>
      <c r="E309" s="1">
        <v>47</v>
      </c>
      <c r="F309" s="1">
        <f t="shared" si="1"/>
        <v>42.75</v>
      </c>
      <c r="G309" s="1">
        <v>45</v>
      </c>
      <c r="H309" s="1">
        <f t="shared" si="1"/>
        <v>57.25</v>
      </c>
      <c r="I309" s="1">
        <v>64</v>
      </c>
      <c r="J309" s="1">
        <f t="shared" si="1"/>
        <v>66.75</v>
      </c>
      <c r="M309" s="1">
        <v>11</v>
      </c>
      <c r="P309" s="1">
        <v>13</v>
      </c>
      <c r="Q309" s="1">
        <v>9</v>
      </c>
      <c r="R309" s="1">
        <v>6</v>
      </c>
      <c r="S309" s="1">
        <v>45</v>
      </c>
    </row>
    <row r="310" spans="1:19" x14ac:dyDescent="0.25">
      <c r="A310" s="12">
        <v>36846</v>
      </c>
      <c r="B310" s="14" t="s">
        <v>327</v>
      </c>
      <c r="C310" s="14"/>
      <c r="D310" s="14"/>
      <c r="E310" s="1">
        <v>38</v>
      </c>
      <c r="F310" s="1">
        <f t="shared" si="1"/>
        <v>39.5</v>
      </c>
      <c r="G310" s="1">
        <v>57</v>
      </c>
      <c r="H310" s="1">
        <f t="shared" si="1"/>
        <v>53.5</v>
      </c>
      <c r="I310" s="1">
        <v>74</v>
      </c>
      <c r="J310" s="1">
        <f t="shared" si="1"/>
        <v>70.25</v>
      </c>
      <c r="M310" s="1">
        <v>14</v>
      </c>
      <c r="P310" s="1">
        <v>16</v>
      </c>
      <c r="Q310" s="1">
        <v>8</v>
      </c>
      <c r="R310" s="1">
        <v>0</v>
      </c>
      <c r="S310" s="1">
        <v>46</v>
      </c>
    </row>
    <row r="311" spans="1:19" x14ac:dyDescent="0.25">
      <c r="A311" s="12">
        <v>36853</v>
      </c>
      <c r="B311" s="14" t="s">
        <v>328</v>
      </c>
      <c r="C311" s="14"/>
      <c r="D311" s="14"/>
      <c r="E311" s="1">
        <v>43</v>
      </c>
      <c r="F311" s="1">
        <f t="shared" si="1"/>
        <v>35</v>
      </c>
      <c r="G311" s="1">
        <v>43</v>
      </c>
      <c r="H311" s="1">
        <f t="shared" si="1"/>
        <v>53.25</v>
      </c>
      <c r="I311" s="1">
        <v>72</v>
      </c>
      <c r="J311" s="1">
        <f t="shared" si="1"/>
        <v>73.75</v>
      </c>
      <c r="M311" s="1">
        <v>9</v>
      </c>
      <c r="P311" s="1">
        <v>17</v>
      </c>
      <c r="Q311" s="1">
        <v>9</v>
      </c>
      <c r="R311" s="1">
        <v>4</v>
      </c>
      <c r="S311" s="1">
        <v>47</v>
      </c>
    </row>
    <row r="312" spans="1:19" x14ac:dyDescent="0.25">
      <c r="A312" s="12">
        <v>36860</v>
      </c>
      <c r="B312" s="14" t="s">
        <v>329</v>
      </c>
      <c r="C312" s="14"/>
      <c r="D312" s="14"/>
      <c r="E312" s="1">
        <v>49</v>
      </c>
      <c r="F312" s="1">
        <f t="shared" si="1"/>
        <v>43.5</v>
      </c>
      <c r="G312" s="1">
        <v>54</v>
      </c>
      <c r="H312" s="1">
        <f t="shared" si="1"/>
        <v>52.25</v>
      </c>
      <c r="I312" s="1">
        <v>83</v>
      </c>
      <c r="J312" s="1">
        <f t="shared" si="1"/>
        <v>72.25</v>
      </c>
      <c r="M312" s="1">
        <v>6</v>
      </c>
      <c r="P312" s="1">
        <v>19</v>
      </c>
      <c r="Q312" s="1">
        <v>11</v>
      </c>
      <c r="R312" s="1">
        <v>5</v>
      </c>
      <c r="S312" s="1">
        <v>48</v>
      </c>
    </row>
    <row r="313" spans="1:19" x14ac:dyDescent="0.25">
      <c r="A313" s="12">
        <v>36867</v>
      </c>
      <c r="B313" s="14" t="s">
        <v>330</v>
      </c>
      <c r="C313" s="14"/>
      <c r="D313" s="14"/>
      <c r="E313" s="1">
        <v>43</v>
      </c>
      <c r="F313" s="1">
        <f t="shared" si="1"/>
        <v>39.5</v>
      </c>
      <c r="G313" s="1">
        <v>50</v>
      </c>
      <c r="H313" s="1">
        <f t="shared" si="1"/>
        <v>53.5</v>
      </c>
      <c r="I313" s="1">
        <v>71</v>
      </c>
      <c r="J313" s="1">
        <f t="shared" si="1"/>
        <v>73.5</v>
      </c>
      <c r="M313" s="1">
        <v>8</v>
      </c>
      <c r="P313" s="1">
        <v>12</v>
      </c>
      <c r="Q313" s="1">
        <v>11</v>
      </c>
      <c r="R313" s="1">
        <v>2</v>
      </c>
      <c r="S313" s="1">
        <v>49</v>
      </c>
    </row>
    <row r="314" spans="1:19" x14ac:dyDescent="0.25">
      <c r="A314" s="12">
        <v>36874</v>
      </c>
      <c r="B314" s="14" t="s">
        <v>331</v>
      </c>
      <c r="C314" s="14"/>
      <c r="D314" s="14"/>
      <c r="E314" s="1">
        <v>38</v>
      </c>
      <c r="F314" s="1">
        <f t="shared" si="1"/>
        <v>45.75</v>
      </c>
      <c r="G314" s="1">
        <v>50</v>
      </c>
      <c r="H314" s="1">
        <f t="shared" si="1"/>
        <v>58.25</v>
      </c>
      <c r="I314" s="1">
        <v>62</v>
      </c>
      <c r="J314" s="1">
        <f t="shared" si="1"/>
        <v>65</v>
      </c>
      <c r="M314" s="1">
        <v>13</v>
      </c>
      <c r="P314" s="1">
        <v>16</v>
      </c>
      <c r="Q314" s="1">
        <v>10</v>
      </c>
      <c r="R314" s="1">
        <v>1</v>
      </c>
      <c r="S314" s="1">
        <v>50</v>
      </c>
    </row>
    <row r="315" spans="1:19" x14ac:dyDescent="0.25">
      <c r="A315" s="12">
        <v>36881</v>
      </c>
      <c r="B315" s="14" t="s">
        <v>332</v>
      </c>
      <c r="C315" s="14"/>
      <c r="D315" s="14"/>
      <c r="E315" s="1">
        <v>42</v>
      </c>
      <c r="F315" s="1">
        <f t="shared" si="1"/>
        <v>32.25</v>
      </c>
      <c r="G315" s="1">
        <v>48</v>
      </c>
      <c r="H315" s="1">
        <f t="shared" si="1"/>
        <v>53.25</v>
      </c>
      <c r="I315" s="1">
        <v>64</v>
      </c>
      <c r="J315" s="1">
        <f t="shared" si="1"/>
        <v>60</v>
      </c>
      <c r="M315" s="1">
        <v>9</v>
      </c>
      <c r="P315" s="1">
        <v>14</v>
      </c>
      <c r="Q315" s="1">
        <v>17</v>
      </c>
      <c r="R315" s="1">
        <v>5</v>
      </c>
      <c r="S315" s="1">
        <v>51</v>
      </c>
    </row>
    <row r="316" spans="1:19" x14ac:dyDescent="0.25">
      <c r="A316" s="12">
        <v>36888</v>
      </c>
      <c r="B316" s="14" t="s">
        <v>333</v>
      </c>
      <c r="C316" s="14"/>
      <c r="D316" s="14"/>
      <c r="E316" s="1">
        <v>34</v>
      </c>
      <c r="F316" s="1">
        <f t="shared" si="1"/>
        <v>32.75</v>
      </c>
      <c r="G316" s="1">
        <v>34</v>
      </c>
      <c r="H316" s="1">
        <f t="shared" si="1"/>
        <v>44.5</v>
      </c>
      <c r="I316" s="1">
        <v>61</v>
      </c>
      <c r="J316" s="1">
        <f t="shared" si="1"/>
        <v>61.25</v>
      </c>
      <c r="M316" s="1">
        <v>8</v>
      </c>
      <c r="O316" s="2"/>
      <c r="P316" s="2">
        <v>17</v>
      </c>
      <c r="Q316" s="2">
        <v>13</v>
      </c>
      <c r="R316" s="2">
        <v>3</v>
      </c>
      <c r="S316" s="2">
        <v>52</v>
      </c>
    </row>
    <row r="317" spans="1:19" x14ac:dyDescent="0.25">
      <c r="A317" s="12">
        <v>36895</v>
      </c>
      <c r="B317" s="14" t="s">
        <v>334</v>
      </c>
      <c r="C317" s="14"/>
      <c r="D317" s="14"/>
      <c r="E317" s="1">
        <v>32</v>
      </c>
      <c r="F317" s="1">
        <f t="shared" si="1"/>
        <v>41.75</v>
      </c>
      <c r="G317" s="1">
        <v>47</v>
      </c>
      <c r="H317" s="1">
        <f t="shared" si="1"/>
        <v>42.25</v>
      </c>
      <c r="I317" s="1">
        <v>54</v>
      </c>
      <c r="J317" s="1">
        <f t="shared" si="1"/>
        <v>74.25</v>
      </c>
      <c r="M317" s="1">
        <v>7</v>
      </c>
      <c r="P317" s="1">
        <v>20</v>
      </c>
      <c r="Q317" s="1">
        <v>9</v>
      </c>
      <c r="R317" s="1">
        <v>0</v>
      </c>
      <c r="S317" s="1">
        <v>1</v>
      </c>
    </row>
    <row r="318" spans="1:19" x14ac:dyDescent="0.25">
      <c r="A318" s="12">
        <v>36902</v>
      </c>
      <c r="B318" s="14" t="s">
        <v>335</v>
      </c>
      <c r="C318" s="14"/>
      <c r="D318" s="14"/>
      <c r="E318" s="1">
        <v>40</v>
      </c>
      <c r="F318" s="1">
        <f t="shared" si="1"/>
        <v>42.5</v>
      </c>
      <c r="G318" s="1">
        <v>44</v>
      </c>
      <c r="H318" s="1">
        <f t="shared" si="1"/>
        <v>51.5</v>
      </c>
      <c r="I318" s="1">
        <v>58</v>
      </c>
      <c r="J318" s="1">
        <f t="shared" si="1"/>
        <v>70.25</v>
      </c>
      <c r="M318" s="1">
        <v>11</v>
      </c>
      <c r="P318" s="1">
        <v>18</v>
      </c>
      <c r="Q318" s="1">
        <v>14</v>
      </c>
      <c r="R318" s="1">
        <v>1</v>
      </c>
      <c r="S318" s="1">
        <v>2</v>
      </c>
    </row>
    <row r="319" spans="1:19" x14ac:dyDescent="0.25">
      <c r="A319" s="12">
        <v>36909</v>
      </c>
      <c r="B319" s="14" t="s">
        <v>336</v>
      </c>
      <c r="C319" s="14"/>
      <c r="D319" s="14"/>
      <c r="E319" s="1">
        <v>35</v>
      </c>
      <c r="F319" s="1">
        <f t="shared" si="1"/>
        <v>44.5</v>
      </c>
      <c r="G319" s="1">
        <v>43</v>
      </c>
      <c r="H319" s="1">
        <f t="shared" si="1"/>
        <v>49.25</v>
      </c>
      <c r="I319" s="1">
        <v>59</v>
      </c>
      <c r="J319" s="1">
        <f t="shared" si="1"/>
        <v>64.25</v>
      </c>
      <c r="M319" s="1">
        <v>9</v>
      </c>
      <c r="P319" s="1">
        <v>13</v>
      </c>
      <c r="Q319" s="1">
        <v>11</v>
      </c>
      <c r="R319" s="1">
        <v>2</v>
      </c>
      <c r="S319" s="1">
        <v>3</v>
      </c>
    </row>
    <row r="320" spans="1:19" x14ac:dyDescent="0.25">
      <c r="A320" s="12">
        <v>36916</v>
      </c>
      <c r="B320" s="14" t="s">
        <v>337</v>
      </c>
      <c r="C320" s="14"/>
      <c r="D320" s="14"/>
      <c r="E320" s="1">
        <v>36</v>
      </c>
      <c r="F320" s="1">
        <f t="shared" si="1"/>
        <v>43.75</v>
      </c>
      <c r="G320" s="1">
        <v>48</v>
      </c>
      <c r="H320" s="1">
        <f t="shared" si="1"/>
        <v>49.5</v>
      </c>
      <c r="I320" s="1">
        <v>81</v>
      </c>
      <c r="J320" s="1">
        <f t="shared" si="1"/>
        <v>68.75</v>
      </c>
      <c r="M320" s="1">
        <v>13</v>
      </c>
      <c r="P320" s="1">
        <v>15</v>
      </c>
      <c r="Q320" s="1">
        <v>9</v>
      </c>
      <c r="R320" s="1">
        <v>2</v>
      </c>
      <c r="S320" s="1">
        <v>4</v>
      </c>
    </row>
    <row r="321" spans="1:19" x14ac:dyDescent="0.25">
      <c r="A321" s="12">
        <v>36923</v>
      </c>
      <c r="B321" s="14" t="s">
        <v>338</v>
      </c>
      <c r="C321" s="14"/>
      <c r="D321" s="14"/>
      <c r="E321" s="1">
        <v>54</v>
      </c>
      <c r="F321" s="1">
        <f t="shared" si="1"/>
        <v>43.5</v>
      </c>
      <c r="G321" s="1">
        <v>52</v>
      </c>
      <c r="H321" s="1">
        <f t="shared" si="1"/>
        <v>50.5</v>
      </c>
      <c r="I321" s="1">
        <v>76</v>
      </c>
      <c r="J321" s="1">
        <f t="shared" si="1"/>
        <v>70.75</v>
      </c>
      <c r="M321" s="1">
        <v>17</v>
      </c>
      <c r="P321" s="1">
        <v>12</v>
      </c>
      <c r="Q321" s="1">
        <v>8</v>
      </c>
      <c r="R321" s="1">
        <v>2</v>
      </c>
      <c r="S321" s="1">
        <v>5</v>
      </c>
    </row>
    <row r="322" spans="1:19" x14ac:dyDescent="0.25">
      <c r="A322" s="12">
        <v>36930</v>
      </c>
      <c r="B322" s="14" t="s">
        <v>339</v>
      </c>
      <c r="C322" s="14"/>
      <c r="D322" s="14"/>
      <c r="E322" s="1">
        <v>45</v>
      </c>
      <c r="F322" s="1">
        <f t="shared" si="1"/>
        <v>50.5</v>
      </c>
      <c r="G322" s="1">
        <v>55</v>
      </c>
      <c r="H322" s="1">
        <f t="shared" si="1"/>
        <v>53.75</v>
      </c>
      <c r="I322" s="1">
        <v>73</v>
      </c>
      <c r="J322" s="1">
        <f t="shared" si="1"/>
        <v>65.5</v>
      </c>
      <c r="M322" s="1">
        <v>18</v>
      </c>
      <c r="P322" s="1">
        <v>12</v>
      </c>
      <c r="Q322" s="1">
        <v>11</v>
      </c>
      <c r="R322" s="1">
        <v>3</v>
      </c>
      <c r="S322" s="1">
        <v>6</v>
      </c>
    </row>
    <row r="323" spans="1:19" x14ac:dyDescent="0.25">
      <c r="A323" s="12">
        <v>36937</v>
      </c>
      <c r="B323" s="14" t="s">
        <v>340</v>
      </c>
      <c r="C323" s="14"/>
      <c r="D323" s="14"/>
      <c r="E323" s="1">
        <v>54</v>
      </c>
      <c r="F323" s="1">
        <f t="shared" si="1"/>
        <v>46.5</v>
      </c>
      <c r="G323" s="1">
        <v>50</v>
      </c>
      <c r="H323" s="1">
        <f t="shared" si="1"/>
        <v>53.75</v>
      </c>
      <c r="I323" s="1">
        <v>74</v>
      </c>
      <c r="J323" s="1">
        <f t="shared" si="1"/>
        <v>64.75</v>
      </c>
      <c r="M323" s="1">
        <v>15</v>
      </c>
      <c r="P323" s="1">
        <v>12</v>
      </c>
      <c r="Q323" s="1">
        <v>7</v>
      </c>
      <c r="R323" s="1">
        <v>1</v>
      </c>
      <c r="S323" s="1">
        <v>7</v>
      </c>
    </row>
    <row r="324" spans="1:19" x14ac:dyDescent="0.25">
      <c r="A324" s="12">
        <v>36944</v>
      </c>
      <c r="B324" s="14" t="s">
        <v>341</v>
      </c>
      <c r="C324" s="14"/>
      <c r="D324" s="14"/>
      <c r="E324" s="1">
        <v>51</v>
      </c>
      <c r="F324" s="1">
        <f t="shared" si="1"/>
        <v>43.25</v>
      </c>
      <c r="G324" s="1">
        <v>54</v>
      </c>
      <c r="H324" s="1">
        <f t="shared" si="1"/>
        <v>52.75</v>
      </c>
      <c r="I324" s="1">
        <v>80</v>
      </c>
      <c r="J324" s="1">
        <f t="shared" si="1"/>
        <v>59.25</v>
      </c>
      <c r="M324" s="1">
        <v>14</v>
      </c>
      <c r="P324" s="1">
        <v>11</v>
      </c>
      <c r="Q324" s="1">
        <v>9</v>
      </c>
      <c r="R324" s="1">
        <v>4</v>
      </c>
      <c r="S324" s="1">
        <v>8</v>
      </c>
    </row>
    <row r="325" spans="1:19" x14ac:dyDescent="0.25">
      <c r="A325" s="12">
        <v>36951</v>
      </c>
      <c r="B325" s="14" t="s">
        <v>342</v>
      </c>
      <c r="C325" s="14"/>
      <c r="D325" s="14"/>
      <c r="E325" s="1">
        <v>59</v>
      </c>
      <c r="F325" s="1">
        <f t="shared" si="1"/>
        <v>41.5</v>
      </c>
      <c r="G325" s="1">
        <v>45</v>
      </c>
      <c r="H325" s="1">
        <f t="shared" si="1"/>
        <v>50.75</v>
      </c>
      <c r="I325" s="1">
        <v>67</v>
      </c>
      <c r="J325" s="1">
        <f t="shared" si="1"/>
        <v>65.5</v>
      </c>
      <c r="M325" s="1">
        <v>7</v>
      </c>
      <c r="P325" s="1">
        <v>13</v>
      </c>
      <c r="Q325" s="1">
        <v>11</v>
      </c>
      <c r="R325" s="1">
        <v>1</v>
      </c>
      <c r="S325" s="1">
        <v>9</v>
      </c>
    </row>
    <row r="326" spans="1:19" x14ac:dyDescent="0.25">
      <c r="A326" s="12">
        <v>36958</v>
      </c>
      <c r="B326" s="14" t="s">
        <v>343</v>
      </c>
      <c r="C326" s="14"/>
      <c r="D326" s="14"/>
      <c r="E326" s="1">
        <v>65</v>
      </c>
      <c r="F326" s="1">
        <f t="shared" si="1"/>
        <v>42.5</v>
      </c>
      <c r="G326" s="1">
        <v>44</v>
      </c>
      <c r="H326" s="1">
        <f t="shared" si="1"/>
        <v>47.5</v>
      </c>
      <c r="I326" s="1">
        <v>68</v>
      </c>
      <c r="J326" s="1">
        <f t="shared" si="1"/>
        <v>61.25</v>
      </c>
      <c r="M326" s="1">
        <v>10</v>
      </c>
      <c r="P326" s="1">
        <v>11</v>
      </c>
      <c r="Q326" s="1">
        <v>11</v>
      </c>
      <c r="R326" s="1">
        <v>0</v>
      </c>
      <c r="S326" s="1">
        <v>10</v>
      </c>
    </row>
    <row r="327" spans="1:19" x14ac:dyDescent="0.25">
      <c r="A327" s="12">
        <v>36965</v>
      </c>
      <c r="B327" s="14" t="s">
        <v>344</v>
      </c>
      <c r="C327" s="14"/>
      <c r="D327" s="14"/>
      <c r="E327" s="1">
        <v>59</v>
      </c>
      <c r="F327" s="1">
        <f t="shared" si="1"/>
        <v>39.25</v>
      </c>
      <c r="G327" s="1">
        <v>55</v>
      </c>
      <c r="H327" s="1">
        <f t="shared" si="1"/>
        <v>45.25</v>
      </c>
      <c r="I327" s="1">
        <v>64</v>
      </c>
      <c r="J327" s="1">
        <f t="shared" si="1"/>
        <v>61</v>
      </c>
      <c r="M327" s="1">
        <v>7</v>
      </c>
      <c r="P327" s="1">
        <v>11</v>
      </c>
      <c r="Q327" s="1">
        <v>12</v>
      </c>
      <c r="R327" s="1">
        <v>4</v>
      </c>
      <c r="S327" s="1">
        <v>11</v>
      </c>
    </row>
    <row r="328" spans="1:19" x14ac:dyDescent="0.25">
      <c r="A328" s="12">
        <v>36972</v>
      </c>
      <c r="B328" s="14" t="s">
        <v>345</v>
      </c>
      <c r="C328" s="14"/>
      <c r="D328" s="14"/>
      <c r="E328" s="1">
        <v>57</v>
      </c>
      <c r="F328" s="1">
        <f t="shared" si="1"/>
        <v>40.75</v>
      </c>
      <c r="G328" s="1">
        <v>48</v>
      </c>
      <c r="H328" s="1">
        <f t="shared" si="1"/>
        <v>46.5</v>
      </c>
      <c r="I328" s="1">
        <v>61</v>
      </c>
      <c r="J328" s="1">
        <f t="shared" si="1"/>
        <v>59</v>
      </c>
      <c r="M328" s="1">
        <v>11</v>
      </c>
      <c r="P328" s="1">
        <v>17</v>
      </c>
      <c r="Q328" s="1">
        <v>4</v>
      </c>
      <c r="R328" s="1">
        <v>5</v>
      </c>
      <c r="S328" s="1">
        <v>12</v>
      </c>
    </row>
    <row r="329" spans="1:19" x14ac:dyDescent="0.25">
      <c r="A329" s="12">
        <v>36979</v>
      </c>
      <c r="B329" s="14" t="s">
        <v>346</v>
      </c>
      <c r="C329" s="14"/>
      <c r="D329" s="14"/>
      <c r="E329" s="1">
        <v>47</v>
      </c>
      <c r="F329" s="1">
        <f t="shared" si="1"/>
        <v>35.75</v>
      </c>
      <c r="G329" s="1">
        <v>55</v>
      </c>
      <c r="H329" s="1">
        <f t="shared" si="1"/>
        <v>48</v>
      </c>
      <c r="I329" s="1">
        <v>74</v>
      </c>
      <c r="J329" s="1">
        <f t="shared" si="1"/>
        <v>51.25</v>
      </c>
      <c r="M329" s="1">
        <v>9</v>
      </c>
      <c r="P329" s="1">
        <v>15</v>
      </c>
      <c r="Q329" s="1">
        <v>11</v>
      </c>
      <c r="R329" s="1">
        <v>1</v>
      </c>
      <c r="S329" s="1">
        <v>13</v>
      </c>
    </row>
    <row r="330" spans="1:19" x14ac:dyDescent="0.25">
      <c r="A330" s="12">
        <v>36986</v>
      </c>
      <c r="B330" s="14" t="s">
        <v>347</v>
      </c>
      <c r="C330" s="14"/>
      <c r="D330" s="14"/>
      <c r="E330" s="1">
        <v>33</v>
      </c>
      <c r="F330" s="1">
        <f t="shared" si="1"/>
        <v>28</v>
      </c>
      <c r="G330" s="1">
        <v>50</v>
      </c>
      <c r="H330" s="1">
        <f t="shared" si="1"/>
        <v>42.25</v>
      </c>
      <c r="I330" s="1">
        <v>64</v>
      </c>
      <c r="J330" s="1">
        <f t="shared" si="1"/>
        <v>52.75</v>
      </c>
      <c r="M330" s="1">
        <v>6</v>
      </c>
      <c r="P330" s="1">
        <v>12</v>
      </c>
      <c r="Q330" s="1">
        <v>6</v>
      </c>
      <c r="R330" s="1">
        <v>0</v>
      </c>
      <c r="S330" s="1">
        <v>14</v>
      </c>
    </row>
    <row r="331" spans="1:19" x14ac:dyDescent="0.25">
      <c r="A331" s="12">
        <v>36993</v>
      </c>
      <c r="B331" s="14" t="s">
        <v>348</v>
      </c>
      <c r="C331" s="14"/>
      <c r="D331" s="14"/>
      <c r="E331" s="1">
        <v>33</v>
      </c>
      <c r="F331" s="1">
        <f t="shared" si="1"/>
        <v>28</v>
      </c>
      <c r="G331" s="1">
        <v>56</v>
      </c>
      <c r="H331" s="1">
        <f t="shared" si="1"/>
        <v>45.75</v>
      </c>
      <c r="I331" s="1">
        <v>54</v>
      </c>
      <c r="J331" s="1">
        <f t="shared" si="1"/>
        <v>55.5</v>
      </c>
      <c r="M331" s="1">
        <v>7</v>
      </c>
      <c r="P331" s="1">
        <v>12</v>
      </c>
      <c r="Q331" s="1">
        <v>9</v>
      </c>
      <c r="R331" s="1">
        <v>2</v>
      </c>
      <c r="S331" s="1">
        <v>15</v>
      </c>
    </row>
    <row r="332" spans="1:19" x14ac:dyDescent="0.25">
      <c r="A332" s="12">
        <v>37000</v>
      </c>
      <c r="B332" s="14" t="s">
        <v>349</v>
      </c>
      <c r="C332" s="14"/>
      <c r="D332" s="14"/>
      <c r="E332" s="1">
        <v>27</v>
      </c>
      <c r="F332" s="1">
        <f t="shared" si="1"/>
        <v>24.5</v>
      </c>
      <c r="G332" s="1">
        <v>46</v>
      </c>
      <c r="H332" s="1">
        <f t="shared" si="1"/>
        <v>43.25</v>
      </c>
      <c r="I332" s="1">
        <v>46</v>
      </c>
      <c r="J332" s="1">
        <f t="shared" si="1"/>
        <v>54.5</v>
      </c>
      <c r="M332" s="1">
        <v>7</v>
      </c>
      <c r="P332" s="1">
        <v>13</v>
      </c>
      <c r="Q332" s="1">
        <v>6</v>
      </c>
      <c r="R332" s="1">
        <v>4</v>
      </c>
      <c r="S332" s="1">
        <v>16</v>
      </c>
    </row>
    <row r="333" spans="1:19" x14ac:dyDescent="0.25">
      <c r="A333" s="12">
        <v>37007</v>
      </c>
      <c r="B333" s="14" t="s">
        <v>350</v>
      </c>
      <c r="C333" s="14"/>
      <c r="D333" s="14"/>
      <c r="E333" s="1">
        <v>18</v>
      </c>
      <c r="F333" s="1">
        <f t="shared" si="1"/>
        <v>24</v>
      </c>
      <c r="G333" s="1">
        <v>40</v>
      </c>
      <c r="H333" s="1">
        <f t="shared" si="1"/>
        <v>41</v>
      </c>
      <c r="I333" s="1">
        <v>46</v>
      </c>
      <c r="J333" s="1">
        <f t="shared" si="1"/>
        <v>55.75</v>
      </c>
      <c r="M333" s="1">
        <v>8</v>
      </c>
      <c r="P333" s="1">
        <v>16</v>
      </c>
      <c r="Q333" s="1">
        <v>9</v>
      </c>
      <c r="R333" s="1">
        <v>0</v>
      </c>
      <c r="S333" s="1">
        <v>17</v>
      </c>
    </row>
    <row r="334" spans="1:19" x14ac:dyDescent="0.25">
      <c r="A334" s="12">
        <v>37014</v>
      </c>
      <c r="B334" s="14" t="s">
        <v>351</v>
      </c>
      <c r="C334" s="14"/>
      <c r="D334" s="14"/>
      <c r="E334" s="1">
        <v>25</v>
      </c>
      <c r="F334" s="1">
        <f t="shared" si="1"/>
        <v>23</v>
      </c>
      <c r="G334" s="1">
        <v>42</v>
      </c>
      <c r="H334" s="1">
        <f t="shared" si="1"/>
        <v>42.75</v>
      </c>
      <c r="I334" s="1">
        <v>46</v>
      </c>
      <c r="J334" s="1">
        <f t="shared" si="1"/>
        <v>44.5</v>
      </c>
      <c r="M334" s="1">
        <v>8</v>
      </c>
      <c r="P334" s="1">
        <v>16</v>
      </c>
      <c r="Q334" s="1">
        <v>8</v>
      </c>
      <c r="R334" s="1">
        <v>3</v>
      </c>
      <c r="S334" s="1">
        <v>18</v>
      </c>
    </row>
    <row r="335" spans="1:19" x14ac:dyDescent="0.25">
      <c r="A335" s="12">
        <v>37021</v>
      </c>
      <c r="B335" s="14" t="s">
        <v>352</v>
      </c>
      <c r="C335" s="14"/>
      <c r="D335" s="14"/>
      <c r="E335" s="1">
        <v>18</v>
      </c>
      <c r="F335" s="1">
        <f t="shared" si="1"/>
        <v>24</v>
      </c>
      <c r="G335" s="1">
        <v>39</v>
      </c>
      <c r="H335" s="1">
        <f t="shared" si="1"/>
        <v>37.5</v>
      </c>
      <c r="I335" s="1">
        <v>52</v>
      </c>
      <c r="J335" s="1">
        <f t="shared" si="1"/>
        <v>54.5</v>
      </c>
      <c r="M335" s="1">
        <v>7</v>
      </c>
      <c r="P335" s="1">
        <v>13</v>
      </c>
      <c r="Q335" s="1">
        <v>12</v>
      </c>
      <c r="R335" s="1">
        <v>4</v>
      </c>
      <c r="S335" s="1">
        <v>19</v>
      </c>
    </row>
    <row r="336" spans="1:19" x14ac:dyDescent="0.25">
      <c r="A336" s="12">
        <v>37028</v>
      </c>
      <c r="B336" s="14" t="s">
        <v>353</v>
      </c>
      <c r="C336" s="14"/>
      <c r="D336" s="14"/>
      <c r="E336" s="1">
        <v>15</v>
      </c>
      <c r="F336" s="1">
        <f t="shared" si="1"/>
        <v>24.75</v>
      </c>
      <c r="G336" s="1">
        <v>43</v>
      </c>
      <c r="H336" s="1">
        <f t="shared" si="1"/>
        <v>43</v>
      </c>
      <c r="I336" s="1">
        <v>47</v>
      </c>
      <c r="J336" s="1">
        <f t="shared" si="1"/>
        <v>55.5</v>
      </c>
      <c r="M336" s="1">
        <v>7</v>
      </c>
      <c r="P336" s="1">
        <v>11</v>
      </c>
      <c r="Q336" s="1">
        <v>7</v>
      </c>
      <c r="R336" s="1">
        <v>3</v>
      </c>
      <c r="S336" s="1">
        <v>20</v>
      </c>
    </row>
    <row r="337" spans="1:19" x14ac:dyDescent="0.25">
      <c r="A337" s="12">
        <v>37035</v>
      </c>
      <c r="B337" s="14" t="s">
        <v>354</v>
      </c>
      <c r="C337" s="14"/>
      <c r="D337" s="14"/>
      <c r="E337" s="1">
        <v>16</v>
      </c>
      <c r="F337" s="1">
        <f t="shared" si="1"/>
        <v>29</v>
      </c>
      <c r="G337" s="1">
        <v>44</v>
      </c>
      <c r="H337" s="1">
        <f t="shared" si="1"/>
        <v>41</v>
      </c>
      <c r="I337" s="1">
        <v>54</v>
      </c>
      <c r="J337" s="1">
        <f t="shared" si="1"/>
        <v>48.75</v>
      </c>
      <c r="M337" s="1">
        <v>6</v>
      </c>
      <c r="P337" s="1">
        <v>4</v>
      </c>
      <c r="Q337" s="1">
        <v>11</v>
      </c>
      <c r="R337" s="1">
        <v>2</v>
      </c>
      <c r="S337" s="1">
        <v>21</v>
      </c>
    </row>
    <row r="338" spans="1:19" x14ac:dyDescent="0.25">
      <c r="A338" s="12">
        <v>37042</v>
      </c>
      <c r="B338" s="14" t="s">
        <v>355</v>
      </c>
      <c r="C338" s="14"/>
      <c r="D338" s="14"/>
      <c r="E338" s="1">
        <v>21</v>
      </c>
      <c r="F338" s="1">
        <f t="shared" si="1"/>
        <v>25.25</v>
      </c>
      <c r="G338" s="1">
        <v>28</v>
      </c>
      <c r="H338" s="1">
        <f t="shared" si="1"/>
        <v>43.5</v>
      </c>
      <c r="I338" s="1">
        <v>49</v>
      </c>
      <c r="J338" s="1">
        <f t="shared" si="1"/>
        <v>52.25</v>
      </c>
      <c r="M338" s="1">
        <v>8</v>
      </c>
      <c r="P338" s="1">
        <v>5</v>
      </c>
      <c r="Q338" s="1">
        <v>5</v>
      </c>
      <c r="R338" s="1">
        <v>0</v>
      </c>
      <c r="S338" s="1">
        <v>22</v>
      </c>
    </row>
    <row r="339" spans="1:19" x14ac:dyDescent="0.25">
      <c r="A339" s="12">
        <v>37049</v>
      </c>
      <c r="B339" s="14" t="s">
        <v>356</v>
      </c>
      <c r="C339" s="14"/>
      <c r="D339" s="14"/>
      <c r="E339" s="1">
        <v>33</v>
      </c>
      <c r="F339" s="1">
        <f t="shared" si="1"/>
        <v>25.5</v>
      </c>
      <c r="G339" s="1">
        <v>30</v>
      </c>
      <c r="H339" s="1">
        <f t="shared" si="1"/>
        <v>44.25</v>
      </c>
      <c r="I339" s="1">
        <v>54</v>
      </c>
      <c r="J339" s="1">
        <f t="shared" si="1"/>
        <v>55.25</v>
      </c>
      <c r="M339" s="1">
        <v>5</v>
      </c>
      <c r="P339" s="1">
        <v>7</v>
      </c>
      <c r="Q339" s="1">
        <v>9</v>
      </c>
      <c r="R339" s="1">
        <v>2</v>
      </c>
      <c r="S339" s="1">
        <v>23</v>
      </c>
    </row>
    <row r="340" spans="1:19" x14ac:dyDescent="0.25">
      <c r="A340" s="12">
        <v>37056</v>
      </c>
      <c r="B340" s="14" t="s">
        <v>357</v>
      </c>
      <c r="C340" s="14"/>
      <c r="D340" s="14"/>
      <c r="E340" s="1">
        <v>45</v>
      </c>
      <c r="F340" s="1">
        <f t="shared" si="1"/>
        <v>26.25</v>
      </c>
      <c r="G340" s="1">
        <v>32</v>
      </c>
      <c r="H340" s="1">
        <f t="shared" si="1"/>
        <v>44.25</v>
      </c>
      <c r="I340" s="1">
        <v>64</v>
      </c>
      <c r="J340" s="1">
        <f t="shared" si="1"/>
        <v>59.75</v>
      </c>
      <c r="M340" s="1">
        <v>4</v>
      </c>
      <c r="P340" s="1">
        <v>11</v>
      </c>
      <c r="Q340" s="1">
        <v>8</v>
      </c>
      <c r="R340" s="1">
        <v>1</v>
      </c>
      <c r="S340" s="1">
        <v>24</v>
      </c>
    </row>
    <row r="341" spans="1:19" x14ac:dyDescent="0.25">
      <c r="A341" s="12">
        <v>37063</v>
      </c>
      <c r="B341" s="14" t="s">
        <v>358</v>
      </c>
      <c r="C341" s="14"/>
      <c r="D341" s="14"/>
      <c r="E341" s="1">
        <v>26</v>
      </c>
      <c r="F341" s="1">
        <f t="shared" ref="F341:J370" si="2">AVERAGE(E289,E237,E185,E133)</f>
        <v>26</v>
      </c>
      <c r="G341" s="1">
        <v>55</v>
      </c>
      <c r="H341" s="1">
        <f t="shared" si="2"/>
        <v>43.25</v>
      </c>
      <c r="I341" s="1">
        <v>46</v>
      </c>
      <c r="J341" s="1">
        <f t="shared" si="2"/>
        <v>61.5</v>
      </c>
      <c r="M341" s="1">
        <v>6</v>
      </c>
      <c r="P341" s="1">
        <v>13</v>
      </c>
      <c r="Q341" s="1">
        <v>4</v>
      </c>
      <c r="R341" s="1">
        <v>3</v>
      </c>
      <c r="S341" s="1">
        <v>25</v>
      </c>
    </row>
    <row r="342" spans="1:19" x14ac:dyDescent="0.25">
      <c r="A342" s="12">
        <v>37070</v>
      </c>
      <c r="B342" s="14" t="s">
        <v>359</v>
      </c>
      <c r="C342" s="14"/>
      <c r="D342" s="14"/>
      <c r="E342" s="1">
        <v>13</v>
      </c>
      <c r="F342" s="1">
        <f t="shared" si="2"/>
        <v>29.25</v>
      </c>
      <c r="G342" s="1">
        <v>54</v>
      </c>
      <c r="H342" s="1">
        <f t="shared" si="2"/>
        <v>44.25</v>
      </c>
      <c r="I342" s="1">
        <v>55</v>
      </c>
      <c r="J342" s="1">
        <f t="shared" si="2"/>
        <v>61.5</v>
      </c>
      <c r="M342" s="1">
        <v>7</v>
      </c>
      <c r="P342" s="1">
        <v>11</v>
      </c>
      <c r="Q342" s="1">
        <v>8</v>
      </c>
      <c r="R342" s="1">
        <v>2</v>
      </c>
      <c r="S342" s="1">
        <v>26</v>
      </c>
    </row>
    <row r="343" spans="1:19" x14ac:dyDescent="0.25">
      <c r="A343" s="12">
        <v>37077</v>
      </c>
      <c r="B343" s="14" t="s">
        <v>360</v>
      </c>
      <c r="C343" s="14"/>
      <c r="D343" s="14"/>
      <c r="E343" s="1">
        <v>27</v>
      </c>
      <c r="F343" s="1">
        <f t="shared" si="2"/>
        <v>33</v>
      </c>
      <c r="G343" s="1">
        <v>40</v>
      </c>
      <c r="H343" s="1">
        <f t="shared" si="2"/>
        <v>43.25</v>
      </c>
      <c r="I343" s="1">
        <v>61</v>
      </c>
      <c r="J343" s="1">
        <f t="shared" si="2"/>
        <v>60.25</v>
      </c>
      <c r="M343" s="1">
        <v>2</v>
      </c>
      <c r="P343" s="1">
        <v>7</v>
      </c>
      <c r="Q343" s="1">
        <v>7</v>
      </c>
      <c r="R343" s="1">
        <v>3</v>
      </c>
      <c r="S343" s="1">
        <v>27</v>
      </c>
    </row>
    <row r="344" spans="1:19" x14ac:dyDescent="0.25">
      <c r="A344" s="12">
        <v>37084</v>
      </c>
      <c r="B344" s="14" t="s">
        <v>361</v>
      </c>
      <c r="C344" s="14"/>
      <c r="D344" s="14"/>
      <c r="E344" s="1">
        <v>27</v>
      </c>
      <c r="F344" s="1">
        <f t="shared" si="2"/>
        <v>30.25</v>
      </c>
      <c r="G344" s="1">
        <v>42</v>
      </c>
      <c r="H344" s="1">
        <f t="shared" si="2"/>
        <v>46.25</v>
      </c>
      <c r="I344" s="1">
        <v>62</v>
      </c>
      <c r="J344" s="1">
        <f t="shared" si="2"/>
        <v>56</v>
      </c>
      <c r="M344" s="1">
        <v>10</v>
      </c>
      <c r="P344" s="1">
        <v>10</v>
      </c>
      <c r="Q344" s="1">
        <v>7</v>
      </c>
      <c r="R344" s="1">
        <v>2</v>
      </c>
      <c r="S344" s="1">
        <v>28</v>
      </c>
    </row>
    <row r="345" spans="1:19" x14ac:dyDescent="0.25">
      <c r="A345" s="12">
        <v>37091</v>
      </c>
      <c r="B345" s="14" t="s">
        <v>362</v>
      </c>
      <c r="C345" s="14"/>
      <c r="D345" s="14"/>
      <c r="E345" s="1">
        <v>29</v>
      </c>
      <c r="F345" s="1">
        <f t="shared" si="2"/>
        <v>24.25</v>
      </c>
      <c r="G345" s="1">
        <v>43</v>
      </c>
      <c r="H345" s="1">
        <f t="shared" si="2"/>
        <v>48</v>
      </c>
      <c r="I345" s="1">
        <v>72</v>
      </c>
      <c r="J345" s="1">
        <f t="shared" si="2"/>
        <v>58</v>
      </c>
      <c r="M345" s="1">
        <v>5</v>
      </c>
      <c r="P345" s="1">
        <v>9</v>
      </c>
      <c r="Q345" s="1">
        <v>11</v>
      </c>
      <c r="R345" s="1">
        <v>4</v>
      </c>
      <c r="S345" s="1">
        <v>29</v>
      </c>
    </row>
    <row r="346" spans="1:19" x14ac:dyDescent="0.25">
      <c r="A346" s="12">
        <v>37098</v>
      </c>
      <c r="B346" s="14" t="s">
        <v>363</v>
      </c>
      <c r="C346" s="14"/>
      <c r="D346" s="14"/>
      <c r="E346" s="1">
        <v>42</v>
      </c>
      <c r="F346" s="1">
        <f t="shared" si="2"/>
        <v>32</v>
      </c>
      <c r="G346" s="1">
        <v>47</v>
      </c>
      <c r="H346" s="1">
        <f t="shared" si="2"/>
        <v>49.75</v>
      </c>
      <c r="I346" s="1">
        <v>65</v>
      </c>
      <c r="J346" s="1">
        <f t="shared" si="2"/>
        <v>58.25</v>
      </c>
      <c r="M346" s="1">
        <v>10</v>
      </c>
      <c r="P346" s="1">
        <v>7</v>
      </c>
      <c r="Q346" s="1">
        <v>10</v>
      </c>
      <c r="R346" s="1">
        <v>4</v>
      </c>
      <c r="S346" s="1">
        <v>30</v>
      </c>
    </row>
    <row r="347" spans="1:19" x14ac:dyDescent="0.25">
      <c r="A347" s="12">
        <v>37105</v>
      </c>
      <c r="B347" s="14" t="s">
        <v>364</v>
      </c>
      <c r="C347" s="14"/>
      <c r="D347" s="14"/>
      <c r="E347" s="1">
        <v>31</v>
      </c>
      <c r="F347" s="1">
        <f t="shared" si="2"/>
        <v>31</v>
      </c>
      <c r="G347" s="1">
        <v>50</v>
      </c>
      <c r="H347" s="1">
        <f t="shared" si="2"/>
        <v>51.25</v>
      </c>
      <c r="I347" s="1">
        <v>67</v>
      </c>
      <c r="J347" s="1">
        <f t="shared" si="2"/>
        <v>66.25</v>
      </c>
      <c r="M347" s="1">
        <v>9</v>
      </c>
      <c r="P347" s="1">
        <v>9</v>
      </c>
      <c r="Q347" s="1">
        <v>5</v>
      </c>
      <c r="R347" s="1">
        <v>5</v>
      </c>
      <c r="S347" s="1">
        <v>31</v>
      </c>
    </row>
    <row r="348" spans="1:19" x14ac:dyDescent="0.25">
      <c r="A348" s="12">
        <v>37112</v>
      </c>
      <c r="B348" s="14" t="s">
        <v>365</v>
      </c>
      <c r="C348" s="14"/>
      <c r="D348" s="14"/>
      <c r="E348" s="1">
        <v>39</v>
      </c>
      <c r="F348" s="1">
        <f t="shared" si="2"/>
        <v>34</v>
      </c>
      <c r="G348" s="1">
        <v>48</v>
      </c>
      <c r="H348" s="1">
        <f t="shared" si="2"/>
        <v>45.25</v>
      </c>
      <c r="I348" s="1">
        <v>69</v>
      </c>
      <c r="J348" s="1">
        <f t="shared" si="2"/>
        <v>65.75</v>
      </c>
      <c r="M348" s="1">
        <v>9</v>
      </c>
      <c r="P348" s="1">
        <v>7</v>
      </c>
      <c r="Q348" s="1">
        <v>6</v>
      </c>
      <c r="R348" s="1">
        <v>2</v>
      </c>
      <c r="S348" s="1">
        <v>32</v>
      </c>
    </row>
    <row r="349" spans="1:19" x14ac:dyDescent="0.25">
      <c r="A349" s="12">
        <v>37119</v>
      </c>
      <c r="B349" s="14" t="s">
        <v>366</v>
      </c>
      <c r="C349" s="14"/>
      <c r="D349" s="14"/>
      <c r="E349" s="1">
        <v>35</v>
      </c>
      <c r="F349" s="1">
        <f t="shared" si="2"/>
        <v>33.25</v>
      </c>
      <c r="G349" s="1">
        <v>52</v>
      </c>
      <c r="H349" s="1">
        <f t="shared" si="2"/>
        <v>48.25</v>
      </c>
      <c r="I349" s="1">
        <v>56</v>
      </c>
      <c r="J349" s="1">
        <f t="shared" si="2"/>
        <v>59.75</v>
      </c>
      <c r="M349" s="1">
        <v>9</v>
      </c>
      <c r="P349" s="1">
        <v>7</v>
      </c>
      <c r="Q349" s="1">
        <v>6</v>
      </c>
      <c r="R349" s="1">
        <v>3</v>
      </c>
      <c r="S349" s="1">
        <v>33</v>
      </c>
    </row>
    <row r="350" spans="1:19" x14ac:dyDescent="0.25">
      <c r="A350" s="12">
        <v>37126</v>
      </c>
      <c r="B350" s="14" t="s">
        <v>367</v>
      </c>
      <c r="C350" s="14"/>
      <c r="D350" s="14"/>
      <c r="E350" s="1">
        <v>38</v>
      </c>
      <c r="F350" s="1">
        <f t="shared" si="2"/>
        <v>34.75</v>
      </c>
      <c r="G350" s="1">
        <v>49</v>
      </c>
      <c r="H350" s="1">
        <f t="shared" si="2"/>
        <v>53</v>
      </c>
      <c r="I350" s="1">
        <v>67</v>
      </c>
      <c r="J350" s="1">
        <f t="shared" si="2"/>
        <v>65.75</v>
      </c>
      <c r="M350" s="1">
        <v>10</v>
      </c>
      <c r="P350" s="1">
        <v>10</v>
      </c>
      <c r="Q350" s="1">
        <v>8</v>
      </c>
      <c r="R350" s="1">
        <v>0</v>
      </c>
      <c r="S350" s="1">
        <v>34</v>
      </c>
    </row>
    <row r="351" spans="1:19" x14ac:dyDescent="0.25">
      <c r="A351" s="12">
        <v>37133</v>
      </c>
      <c r="B351" s="14" t="s">
        <v>368</v>
      </c>
      <c r="C351" s="14"/>
      <c r="D351" s="14"/>
      <c r="E351" s="1">
        <v>34</v>
      </c>
      <c r="F351" s="1">
        <f t="shared" si="2"/>
        <v>35</v>
      </c>
      <c r="G351" s="1">
        <v>45</v>
      </c>
      <c r="H351" s="1">
        <f t="shared" si="2"/>
        <v>49.25</v>
      </c>
      <c r="I351" s="1">
        <v>55</v>
      </c>
      <c r="J351" s="1">
        <f t="shared" si="2"/>
        <v>63.5</v>
      </c>
      <c r="M351" s="1">
        <v>7</v>
      </c>
      <c r="P351" s="1">
        <v>7</v>
      </c>
      <c r="Q351" s="1">
        <v>8</v>
      </c>
      <c r="R351" s="1">
        <v>8</v>
      </c>
      <c r="S351" s="1">
        <v>35</v>
      </c>
    </row>
    <row r="352" spans="1:19" x14ac:dyDescent="0.25">
      <c r="A352" s="12">
        <v>37140</v>
      </c>
      <c r="B352" s="14" t="s">
        <v>369</v>
      </c>
      <c r="C352" s="14"/>
      <c r="D352" s="14"/>
      <c r="E352" s="1">
        <v>30</v>
      </c>
      <c r="F352" s="1">
        <f t="shared" si="2"/>
        <v>38.75</v>
      </c>
      <c r="G352" s="1">
        <v>46</v>
      </c>
      <c r="H352" s="1">
        <f t="shared" si="2"/>
        <v>49</v>
      </c>
      <c r="I352" s="1">
        <v>58</v>
      </c>
      <c r="J352" s="1">
        <f t="shared" si="2"/>
        <v>61.75</v>
      </c>
      <c r="M352" s="1">
        <v>6</v>
      </c>
      <c r="P352" s="1">
        <v>8</v>
      </c>
      <c r="Q352" s="1">
        <v>5</v>
      </c>
      <c r="R352" s="1">
        <v>3</v>
      </c>
      <c r="S352" s="1">
        <v>36</v>
      </c>
    </row>
    <row r="353" spans="1:19" x14ac:dyDescent="0.25">
      <c r="A353" s="12">
        <v>37147</v>
      </c>
      <c r="B353" s="14" t="s">
        <v>370</v>
      </c>
      <c r="C353" s="14"/>
      <c r="D353" s="14"/>
      <c r="E353" s="1">
        <v>34</v>
      </c>
      <c r="F353" s="1">
        <f t="shared" si="2"/>
        <v>40.75</v>
      </c>
      <c r="G353" s="1">
        <v>48</v>
      </c>
      <c r="H353" s="1">
        <f t="shared" si="2"/>
        <v>51.25</v>
      </c>
      <c r="I353" s="1">
        <v>54</v>
      </c>
      <c r="J353" s="1">
        <f t="shared" si="2"/>
        <v>63.5</v>
      </c>
      <c r="M353" s="1">
        <v>1</v>
      </c>
      <c r="P353" s="1">
        <v>9</v>
      </c>
      <c r="Q353" s="1">
        <v>9</v>
      </c>
      <c r="R353" s="1">
        <v>2</v>
      </c>
      <c r="S353" s="1">
        <v>37</v>
      </c>
    </row>
    <row r="354" spans="1:19" x14ac:dyDescent="0.25">
      <c r="A354" s="12">
        <v>37154</v>
      </c>
      <c r="B354" s="14" t="s">
        <v>371</v>
      </c>
      <c r="C354" s="14"/>
      <c r="D354" s="14"/>
      <c r="E354" s="1">
        <v>35</v>
      </c>
      <c r="F354" s="1">
        <f t="shared" si="2"/>
        <v>44.75</v>
      </c>
      <c r="G354" s="1">
        <v>44</v>
      </c>
      <c r="H354" s="1">
        <f t="shared" si="2"/>
        <v>53.25</v>
      </c>
      <c r="I354" s="1">
        <v>53</v>
      </c>
      <c r="J354" s="1">
        <f t="shared" si="2"/>
        <v>68</v>
      </c>
      <c r="M354" s="1">
        <v>9</v>
      </c>
      <c r="P354" s="1">
        <v>8</v>
      </c>
      <c r="Q354" s="1">
        <v>3</v>
      </c>
      <c r="R354" s="1">
        <v>2</v>
      </c>
      <c r="S354" s="1">
        <v>38</v>
      </c>
    </row>
    <row r="355" spans="1:19" x14ac:dyDescent="0.25">
      <c r="A355" s="12">
        <v>37161</v>
      </c>
      <c r="B355" s="14" t="s">
        <v>372</v>
      </c>
      <c r="C355" s="14"/>
      <c r="D355" s="14"/>
      <c r="E355" s="1">
        <v>32</v>
      </c>
      <c r="F355" s="1">
        <f t="shared" si="2"/>
        <v>39.25</v>
      </c>
      <c r="G355" s="1">
        <v>46</v>
      </c>
      <c r="H355" s="1">
        <f t="shared" si="2"/>
        <v>48.5</v>
      </c>
      <c r="I355" s="1">
        <v>61</v>
      </c>
      <c r="J355" s="1">
        <f t="shared" si="2"/>
        <v>61.75</v>
      </c>
      <c r="M355" s="1">
        <v>4</v>
      </c>
      <c r="P355" s="1">
        <v>10</v>
      </c>
      <c r="Q355" s="1">
        <v>6</v>
      </c>
      <c r="R355" s="1">
        <v>4</v>
      </c>
      <c r="S355" s="1">
        <v>39</v>
      </c>
    </row>
    <row r="356" spans="1:19" x14ac:dyDescent="0.25">
      <c r="A356" s="12">
        <v>37168</v>
      </c>
      <c r="B356" s="14" t="s">
        <v>373</v>
      </c>
      <c r="C356" s="14"/>
      <c r="D356" s="14"/>
      <c r="E356" s="1">
        <v>30</v>
      </c>
      <c r="F356" s="1">
        <f t="shared" si="2"/>
        <v>39.75</v>
      </c>
      <c r="G356" s="1">
        <v>50</v>
      </c>
      <c r="H356" s="1">
        <f t="shared" si="2"/>
        <v>51.25</v>
      </c>
      <c r="I356" s="1">
        <v>64</v>
      </c>
      <c r="J356" s="1">
        <f t="shared" si="2"/>
        <v>68.25</v>
      </c>
      <c r="M356" s="1">
        <v>7</v>
      </c>
      <c r="P356" s="1">
        <v>13</v>
      </c>
      <c r="Q356" s="1">
        <v>11</v>
      </c>
      <c r="R356" s="1">
        <v>4</v>
      </c>
      <c r="S356" s="1">
        <v>40</v>
      </c>
    </row>
    <row r="357" spans="1:19" x14ac:dyDescent="0.25">
      <c r="A357" s="12">
        <v>37175</v>
      </c>
      <c r="B357" s="14" t="s">
        <v>374</v>
      </c>
      <c r="C357" s="14"/>
      <c r="D357" s="14"/>
      <c r="E357" s="1">
        <v>26</v>
      </c>
      <c r="F357" s="1">
        <f t="shared" si="2"/>
        <v>40.75</v>
      </c>
      <c r="G357" s="1">
        <v>55</v>
      </c>
      <c r="H357" s="1">
        <f t="shared" si="2"/>
        <v>54.75</v>
      </c>
      <c r="I357" s="1">
        <v>70</v>
      </c>
      <c r="J357" s="1">
        <f t="shared" si="2"/>
        <v>73.75</v>
      </c>
      <c r="M357" s="1">
        <v>13</v>
      </c>
      <c r="P357" s="1">
        <v>14</v>
      </c>
      <c r="Q357" s="1">
        <v>9</v>
      </c>
      <c r="R357" s="1">
        <v>3</v>
      </c>
      <c r="S357" s="1">
        <v>41</v>
      </c>
    </row>
    <row r="358" spans="1:19" x14ac:dyDescent="0.25">
      <c r="A358" s="12">
        <v>37182</v>
      </c>
      <c r="B358" s="14" t="s">
        <v>375</v>
      </c>
      <c r="C358" s="14"/>
      <c r="D358" s="14"/>
      <c r="E358" s="1">
        <v>38</v>
      </c>
      <c r="F358" s="1">
        <f t="shared" si="2"/>
        <v>39.25</v>
      </c>
      <c r="G358" s="1">
        <v>45</v>
      </c>
      <c r="H358" s="1">
        <f t="shared" si="2"/>
        <v>56</v>
      </c>
      <c r="I358" s="1">
        <v>64</v>
      </c>
      <c r="J358" s="1">
        <f t="shared" si="2"/>
        <v>67</v>
      </c>
      <c r="M358" s="1">
        <v>14</v>
      </c>
      <c r="P358" s="1">
        <v>16</v>
      </c>
      <c r="Q358" s="1">
        <v>5</v>
      </c>
      <c r="R358" s="1">
        <v>4</v>
      </c>
      <c r="S358" s="1">
        <v>42</v>
      </c>
    </row>
    <row r="359" spans="1:19" x14ac:dyDescent="0.25">
      <c r="A359" s="12">
        <v>37189</v>
      </c>
      <c r="B359" s="14" t="s">
        <v>376</v>
      </c>
      <c r="C359" s="14"/>
      <c r="D359" s="14"/>
      <c r="E359" s="1">
        <v>37</v>
      </c>
      <c r="F359" s="1">
        <f t="shared" si="2"/>
        <v>35.75</v>
      </c>
      <c r="G359" s="1">
        <v>64</v>
      </c>
      <c r="H359" s="1">
        <f t="shared" si="2"/>
        <v>54</v>
      </c>
      <c r="I359" s="1">
        <v>73</v>
      </c>
      <c r="J359" s="1">
        <f t="shared" si="2"/>
        <v>68.5</v>
      </c>
      <c r="M359" s="1">
        <v>16</v>
      </c>
      <c r="P359" s="1">
        <v>18</v>
      </c>
      <c r="Q359" s="1">
        <v>3</v>
      </c>
      <c r="R359" s="1">
        <v>7</v>
      </c>
      <c r="S359" s="1">
        <v>43</v>
      </c>
    </row>
    <row r="360" spans="1:19" x14ac:dyDescent="0.25">
      <c r="A360" s="12">
        <v>37196</v>
      </c>
      <c r="B360" s="14" t="s">
        <v>377</v>
      </c>
      <c r="C360" s="14"/>
      <c r="D360" s="14"/>
      <c r="E360" s="1">
        <v>46</v>
      </c>
      <c r="F360" s="1">
        <f t="shared" si="2"/>
        <v>37.75</v>
      </c>
      <c r="G360" s="1">
        <v>63</v>
      </c>
      <c r="H360" s="1">
        <f t="shared" si="2"/>
        <v>55</v>
      </c>
      <c r="I360" s="1">
        <v>77</v>
      </c>
      <c r="J360" s="1">
        <f t="shared" si="2"/>
        <v>72.5</v>
      </c>
      <c r="M360" s="1">
        <v>12</v>
      </c>
      <c r="P360" s="1">
        <v>20</v>
      </c>
      <c r="Q360" s="1">
        <v>10</v>
      </c>
      <c r="R360" s="1">
        <v>1</v>
      </c>
      <c r="S360" s="1">
        <v>44</v>
      </c>
    </row>
    <row r="361" spans="1:19" x14ac:dyDescent="0.25">
      <c r="A361" s="12">
        <v>37203</v>
      </c>
      <c r="B361" s="14" t="s">
        <v>378</v>
      </c>
      <c r="C361" s="14"/>
      <c r="D361" s="14"/>
      <c r="E361" s="1">
        <v>35</v>
      </c>
      <c r="F361" s="1">
        <f t="shared" si="2"/>
        <v>40.75</v>
      </c>
      <c r="G361" s="1">
        <v>57</v>
      </c>
      <c r="H361" s="1">
        <f t="shared" si="2"/>
        <v>53.75</v>
      </c>
      <c r="I361" s="1">
        <v>66</v>
      </c>
      <c r="J361" s="1">
        <f t="shared" si="2"/>
        <v>65.25</v>
      </c>
      <c r="M361" s="1">
        <v>9</v>
      </c>
      <c r="P361" s="1">
        <v>16</v>
      </c>
      <c r="Q361" s="1">
        <v>12</v>
      </c>
      <c r="R361" s="1">
        <v>7</v>
      </c>
      <c r="S361" s="1">
        <v>45</v>
      </c>
    </row>
    <row r="362" spans="1:19" x14ac:dyDescent="0.25">
      <c r="A362" s="12">
        <v>37210</v>
      </c>
      <c r="B362" s="14" t="s">
        <v>379</v>
      </c>
      <c r="C362" s="14"/>
      <c r="D362" s="14"/>
      <c r="E362" s="1">
        <v>33</v>
      </c>
      <c r="F362" s="1">
        <f t="shared" si="2"/>
        <v>32.25</v>
      </c>
      <c r="G362" s="1">
        <v>55</v>
      </c>
      <c r="H362" s="1">
        <f t="shared" si="2"/>
        <v>55.75</v>
      </c>
      <c r="I362" s="1">
        <v>73</v>
      </c>
      <c r="J362" s="1">
        <f t="shared" si="2"/>
        <v>74.5</v>
      </c>
      <c r="M362" s="1">
        <v>11</v>
      </c>
      <c r="P362" s="1">
        <v>17</v>
      </c>
      <c r="Q362" s="1">
        <v>14</v>
      </c>
      <c r="R362" s="1">
        <v>2</v>
      </c>
      <c r="S362" s="1">
        <v>46</v>
      </c>
    </row>
    <row r="363" spans="1:19" x14ac:dyDescent="0.25">
      <c r="A363" s="12">
        <v>37217</v>
      </c>
      <c r="B363" s="14" t="s">
        <v>380</v>
      </c>
      <c r="C363" s="14"/>
      <c r="D363" s="14"/>
      <c r="E363" s="1">
        <v>40</v>
      </c>
      <c r="F363" s="1">
        <f t="shared" si="2"/>
        <v>35</v>
      </c>
      <c r="G363" s="1">
        <v>48</v>
      </c>
      <c r="H363" s="1">
        <f t="shared" si="2"/>
        <v>53</v>
      </c>
      <c r="I363" s="1">
        <v>64</v>
      </c>
      <c r="J363" s="1">
        <f t="shared" si="2"/>
        <v>75.25</v>
      </c>
      <c r="M363" s="1">
        <v>8</v>
      </c>
      <c r="P363" s="1">
        <v>12</v>
      </c>
      <c r="Q363" s="1">
        <v>9</v>
      </c>
      <c r="R363" s="1">
        <v>2</v>
      </c>
      <c r="S363" s="1">
        <v>47</v>
      </c>
    </row>
    <row r="364" spans="1:19" x14ac:dyDescent="0.25">
      <c r="A364" s="12">
        <v>37224</v>
      </c>
      <c r="B364" s="14" t="s">
        <v>381</v>
      </c>
      <c r="C364" s="14"/>
      <c r="D364" s="14"/>
      <c r="E364" s="1">
        <v>45</v>
      </c>
      <c r="F364" s="1">
        <f t="shared" si="2"/>
        <v>43.25</v>
      </c>
      <c r="G364" s="1">
        <v>48</v>
      </c>
      <c r="H364" s="1">
        <f t="shared" si="2"/>
        <v>52.75</v>
      </c>
      <c r="I364" s="1">
        <v>76</v>
      </c>
      <c r="J364" s="1">
        <f t="shared" si="2"/>
        <v>74</v>
      </c>
      <c r="M364" s="1">
        <v>8</v>
      </c>
      <c r="P364" s="1">
        <v>12</v>
      </c>
      <c r="Q364" s="1">
        <v>9</v>
      </c>
      <c r="R364" s="1">
        <v>1</v>
      </c>
      <c r="S364" s="1">
        <v>48</v>
      </c>
    </row>
    <row r="365" spans="1:19" x14ac:dyDescent="0.25">
      <c r="A365" s="12">
        <v>37231</v>
      </c>
      <c r="B365" s="14" t="s">
        <v>382</v>
      </c>
      <c r="C365" s="14"/>
      <c r="D365" s="14"/>
      <c r="E365" s="1">
        <v>59</v>
      </c>
      <c r="F365" s="1">
        <f t="shared" si="2"/>
        <v>38.75</v>
      </c>
      <c r="G365" s="1">
        <v>58</v>
      </c>
      <c r="H365" s="1">
        <f t="shared" si="2"/>
        <v>52.5</v>
      </c>
      <c r="I365" s="1">
        <v>77</v>
      </c>
      <c r="J365" s="1">
        <f t="shared" si="2"/>
        <v>73</v>
      </c>
      <c r="M365" s="1">
        <v>12</v>
      </c>
      <c r="P365" s="1">
        <v>9</v>
      </c>
      <c r="Q365" s="1">
        <v>9</v>
      </c>
      <c r="R365" s="1">
        <v>3</v>
      </c>
      <c r="S365" s="1">
        <v>49</v>
      </c>
    </row>
    <row r="366" spans="1:19" x14ac:dyDescent="0.25">
      <c r="A366" s="12">
        <v>37238</v>
      </c>
      <c r="B366" s="14" t="s">
        <v>383</v>
      </c>
      <c r="C366" s="14"/>
      <c r="D366" s="14"/>
      <c r="E366" s="1">
        <v>39</v>
      </c>
      <c r="F366" s="1">
        <f t="shared" si="2"/>
        <v>40</v>
      </c>
      <c r="G366" s="1">
        <v>57</v>
      </c>
      <c r="H366" s="1">
        <f t="shared" si="2"/>
        <v>58.25</v>
      </c>
      <c r="I366" s="1">
        <v>78</v>
      </c>
      <c r="J366" s="1">
        <f t="shared" si="2"/>
        <v>67</v>
      </c>
      <c r="M366" s="1">
        <v>9</v>
      </c>
      <c r="P366" s="1">
        <v>7</v>
      </c>
      <c r="Q366" s="1">
        <v>8</v>
      </c>
      <c r="R366" s="1">
        <v>3</v>
      </c>
      <c r="S366" s="1">
        <v>50</v>
      </c>
    </row>
    <row r="367" spans="1:19" x14ac:dyDescent="0.25">
      <c r="A367" s="12">
        <v>37245</v>
      </c>
      <c r="B367" s="14" t="s">
        <v>384</v>
      </c>
      <c r="C367" s="14"/>
      <c r="D367" s="14"/>
      <c r="E367" s="1">
        <v>34</v>
      </c>
      <c r="F367" s="1">
        <f t="shared" si="2"/>
        <v>31.5</v>
      </c>
      <c r="G367" s="1">
        <v>48</v>
      </c>
      <c r="H367" s="1">
        <f t="shared" si="2"/>
        <v>53</v>
      </c>
      <c r="I367" s="1">
        <v>63</v>
      </c>
      <c r="J367" s="1">
        <f t="shared" si="2"/>
        <v>59</v>
      </c>
      <c r="M367" s="1">
        <v>14</v>
      </c>
      <c r="P367" s="1">
        <v>11</v>
      </c>
      <c r="Q367" s="1">
        <v>5</v>
      </c>
      <c r="R367" s="1">
        <v>4</v>
      </c>
      <c r="S367" s="1">
        <v>51</v>
      </c>
    </row>
    <row r="368" spans="1:19" x14ac:dyDescent="0.25">
      <c r="A368" s="12">
        <v>37252</v>
      </c>
      <c r="B368" s="14" t="s">
        <v>385</v>
      </c>
      <c r="C368" s="14"/>
      <c r="D368" s="14"/>
      <c r="E368" s="1">
        <v>42</v>
      </c>
      <c r="F368" s="1">
        <f t="shared" si="2"/>
        <v>30</v>
      </c>
      <c r="G368" s="1">
        <v>49</v>
      </c>
      <c r="H368" s="1">
        <f t="shared" si="2"/>
        <v>42.5</v>
      </c>
      <c r="I368" s="1">
        <v>67</v>
      </c>
      <c r="J368" s="1">
        <f t="shared" si="2"/>
        <v>57.25</v>
      </c>
      <c r="M368" s="1">
        <v>10</v>
      </c>
      <c r="P368" s="1">
        <v>8</v>
      </c>
      <c r="Q368" s="1">
        <v>3</v>
      </c>
      <c r="R368" s="1">
        <v>2</v>
      </c>
      <c r="S368" s="1">
        <v>52</v>
      </c>
    </row>
    <row r="369" spans="1:19" x14ac:dyDescent="0.25">
      <c r="A369" s="12">
        <v>37259</v>
      </c>
      <c r="B369" s="14" t="s">
        <v>386</v>
      </c>
      <c r="C369" s="14"/>
      <c r="D369" s="14"/>
      <c r="E369" s="1">
        <v>43</v>
      </c>
      <c r="F369" s="1">
        <f t="shared" si="2"/>
        <v>38</v>
      </c>
      <c r="G369" s="1">
        <v>42</v>
      </c>
      <c r="H369" s="1">
        <f t="shared" si="2"/>
        <v>43.25</v>
      </c>
      <c r="I369" s="1">
        <v>68</v>
      </c>
      <c r="J369" s="1">
        <f t="shared" si="2"/>
        <v>69.75</v>
      </c>
      <c r="M369" s="1">
        <v>8</v>
      </c>
      <c r="P369" s="1">
        <v>8</v>
      </c>
      <c r="Q369" s="1">
        <v>4</v>
      </c>
      <c r="R369" s="1">
        <v>3</v>
      </c>
      <c r="S369" s="1">
        <v>53</v>
      </c>
    </row>
    <row r="370" spans="1:19" x14ac:dyDescent="0.25">
      <c r="A370" s="12">
        <v>37266</v>
      </c>
      <c r="B370" s="14" t="s">
        <v>387</v>
      </c>
      <c r="C370" s="14"/>
      <c r="D370" s="14"/>
      <c r="E370" s="1">
        <v>54</v>
      </c>
      <c r="F370" s="1">
        <f t="shared" si="2"/>
        <v>40.5</v>
      </c>
      <c r="G370" s="1">
        <v>66</v>
      </c>
      <c r="H370" s="1">
        <f t="shared" si="2"/>
        <v>49.25</v>
      </c>
      <c r="I370" s="1">
        <v>73</v>
      </c>
      <c r="J370" s="1">
        <f t="shared" si="2"/>
        <v>67</v>
      </c>
      <c r="M370" s="1">
        <v>7</v>
      </c>
      <c r="P370" s="1">
        <v>3</v>
      </c>
      <c r="Q370" s="1">
        <v>10</v>
      </c>
      <c r="R370" s="1">
        <v>6</v>
      </c>
      <c r="S370" s="1">
        <v>1</v>
      </c>
    </row>
    <row r="371" spans="1:19" x14ac:dyDescent="0.25">
      <c r="A371" s="12">
        <v>37273</v>
      </c>
      <c r="B371" s="14" t="s">
        <v>388</v>
      </c>
      <c r="C371" s="14"/>
      <c r="D371" s="14"/>
      <c r="E371" s="1">
        <v>40</v>
      </c>
      <c r="F371" s="1">
        <f>AVERAGE(E319,E267,E215,E163)</f>
        <v>42.5</v>
      </c>
      <c r="G371" s="1">
        <v>60</v>
      </c>
      <c r="H371" s="1">
        <f>AVERAGE(G319,G267,G215,G163)</f>
        <v>47</v>
      </c>
      <c r="I371" s="1">
        <v>77</v>
      </c>
      <c r="J371" s="1">
        <f>AVERAGE(I319,I267,I215,I163)</f>
        <v>62</v>
      </c>
      <c r="M371" s="1">
        <v>4</v>
      </c>
      <c r="P371" s="1">
        <v>9</v>
      </c>
      <c r="Q371" s="1">
        <v>5</v>
      </c>
      <c r="R371" s="1">
        <v>2</v>
      </c>
      <c r="S371" s="1">
        <v>2</v>
      </c>
    </row>
    <row r="372" spans="1:19" x14ac:dyDescent="0.25">
      <c r="A372" s="12">
        <v>37280</v>
      </c>
      <c r="B372" s="14" t="s">
        <v>389</v>
      </c>
      <c r="C372" s="14"/>
      <c r="D372" s="14"/>
      <c r="E372" s="1">
        <v>38</v>
      </c>
      <c r="F372" s="1">
        <f t="shared" ref="F372:J435" si="3">AVERAGE(E320,E268,E216,E164)</f>
        <v>41.5</v>
      </c>
      <c r="G372" s="1">
        <v>62</v>
      </c>
      <c r="H372" s="1">
        <f t="shared" si="3"/>
        <v>50.75</v>
      </c>
      <c r="I372" s="1">
        <v>81</v>
      </c>
      <c r="J372" s="1">
        <f t="shared" si="3"/>
        <v>72</v>
      </c>
      <c r="M372" s="1">
        <v>8</v>
      </c>
      <c r="P372" s="1">
        <v>4</v>
      </c>
      <c r="Q372" s="1">
        <v>7</v>
      </c>
      <c r="R372" s="1">
        <v>3</v>
      </c>
      <c r="S372" s="1">
        <v>3</v>
      </c>
    </row>
    <row r="373" spans="1:19" x14ac:dyDescent="0.25">
      <c r="A373" s="12">
        <v>37287</v>
      </c>
      <c r="B373" s="14" t="s">
        <v>390</v>
      </c>
      <c r="C373" s="14"/>
      <c r="D373" s="14"/>
      <c r="E373" s="1">
        <v>39</v>
      </c>
      <c r="F373" s="1">
        <f t="shared" si="3"/>
        <v>46.25</v>
      </c>
      <c r="G373" s="1">
        <v>54</v>
      </c>
      <c r="H373" s="1">
        <f t="shared" si="3"/>
        <v>50.5</v>
      </c>
      <c r="I373" s="1">
        <v>80</v>
      </c>
      <c r="J373" s="1">
        <f t="shared" si="3"/>
        <v>73.25</v>
      </c>
      <c r="M373" s="1">
        <v>12</v>
      </c>
      <c r="P373" s="1">
        <v>6</v>
      </c>
      <c r="Q373" s="1">
        <v>6</v>
      </c>
      <c r="R373" s="1">
        <v>6</v>
      </c>
      <c r="S373" s="1">
        <v>4</v>
      </c>
    </row>
    <row r="374" spans="1:19" x14ac:dyDescent="0.25">
      <c r="A374" s="12">
        <v>37294</v>
      </c>
      <c r="B374" s="14" t="s">
        <v>391</v>
      </c>
      <c r="C374" s="14"/>
      <c r="D374" s="14"/>
      <c r="E374" s="1">
        <v>48</v>
      </c>
      <c r="F374" s="1">
        <f t="shared" si="3"/>
        <v>50</v>
      </c>
      <c r="G374" s="1">
        <v>60</v>
      </c>
      <c r="H374" s="1">
        <f t="shared" si="3"/>
        <v>55</v>
      </c>
      <c r="I374" s="1">
        <v>67</v>
      </c>
      <c r="J374" s="1">
        <f t="shared" si="3"/>
        <v>66</v>
      </c>
      <c r="M374" s="1">
        <v>15</v>
      </c>
      <c r="P374" s="1">
        <v>6</v>
      </c>
      <c r="Q374" s="1">
        <v>8</v>
      </c>
      <c r="R374" s="1">
        <v>2</v>
      </c>
      <c r="S374" s="1">
        <v>5</v>
      </c>
    </row>
    <row r="375" spans="1:19" x14ac:dyDescent="0.25">
      <c r="A375" s="12">
        <v>37301</v>
      </c>
      <c r="B375" s="14" t="s">
        <v>392</v>
      </c>
      <c r="C375" s="14"/>
      <c r="D375" s="14"/>
      <c r="E375" s="1">
        <v>48</v>
      </c>
      <c r="F375" s="1">
        <f t="shared" si="3"/>
        <v>49.75</v>
      </c>
      <c r="G375" s="1">
        <v>60</v>
      </c>
      <c r="H375" s="1">
        <f t="shared" si="3"/>
        <v>52.5</v>
      </c>
      <c r="I375" s="1">
        <v>74</v>
      </c>
      <c r="J375" s="1">
        <f t="shared" si="3"/>
        <v>68.75</v>
      </c>
      <c r="M375" s="1">
        <v>13</v>
      </c>
      <c r="P375" s="1">
        <v>8</v>
      </c>
      <c r="Q375" s="1">
        <v>4</v>
      </c>
      <c r="R375" s="1">
        <v>4</v>
      </c>
      <c r="S375" s="1">
        <v>6</v>
      </c>
    </row>
    <row r="376" spans="1:19" x14ac:dyDescent="0.25">
      <c r="A376" s="12">
        <v>37308</v>
      </c>
      <c r="B376" s="14" t="s">
        <v>393</v>
      </c>
      <c r="C376" s="14"/>
      <c r="D376" s="14"/>
      <c r="E376" s="1">
        <v>57</v>
      </c>
      <c r="F376" s="1">
        <f t="shared" si="3"/>
        <v>45.75</v>
      </c>
      <c r="G376" s="1">
        <v>65</v>
      </c>
      <c r="H376" s="1">
        <f t="shared" si="3"/>
        <v>55.25</v>
      </c>
      <c r="I376" s="1">
        <v>72</v>
      </c>
      <c r="J376" s="1">
        <f t="shared" si="3"/>
        <v>67</v>
      </c>
      <c r="M376" s="1">
        <v>8</v>
      </c>
      <c r="P376" s="1">
        <v>10</v>
      </c>
      <c r="Q376" s="1">
        <v>8</v>
      </c>
      <c r="R376" s="1">
        <v>5</v>
      </c>
      <c r="S376" s="1">
        <v>7</v>
      </c>
    </row>
    <row r="377" spans="1:19" x14ac:dyDescent="0.25">
      <c r="A377" s="12">
        <v>37315</v>
      </c>
      <c r="B377" s="14" t="s">
        <v>394</v>
      </c>
      <c r="C377" s="14"/>
      <c r="D377" s="14"/>
      <c r="E377" s="1">
        <v>51</v>
      </c>
      <c r="F377" s="1">
        <f t="shared" si="3"/>
        <v>47</v>
      </c>
      <c r="G377" s="1">
        <v>66</v>
      </c>
      <c r="H377" s="1">
        <f t="shared" si="3"/>
        <v>51.25</v>
      </c>
      <c r="I377" s="1">
        <v>73</v>
      </c>
      <c r="J377" s="1">
        <f t="shared" si="3"/>
        <v>66.75</v>
      </c>
      <c r="M377" s="1">
        <v>5</v>
      </c>
      <c r="P377" s="1">
        <v>11</v>
      </c>
      <c r="Q377" s="1">
        <v>14</v>
      </c>
      <c r="R377" s="1">
        <v>2</v>
      </c>
      <c r="S377" s="1">
        <v>8</v>
      </c>
    </row>
    <row r="378" spans="1:19" x14ac:dyDescent="0.25">
      <c r="A378" s="12">
        <v>37322</v>
      </c>
      <c r="B378" s="14" t="s">
        <v>395</v>
      </c>
      <c r="C378" s="14"/>
      <c r="D378" s="14"/>
      <c r="E378" s="1">
        <v>33</v>
      </c>
      <c r="F378" s="1">
        <f t="shared" si="3"/>
        <v>48.25</v>
      </c>
      <c r="G378" s="1">
        <v>65</v>
      </c>
      <c r="H378" s="1">
        <f t="shared" si="3"/>
        <v>47</v>
      </c>
      <c r="I378" s="1">
        <v>68</v>
      </c>
      <c r="J378" s="1">
        <f t="shared" si="3"/>
        <v>64.75</v>
      </c>
      <c r="M378" s="1">
        <v>12</v>
      </c>
      <c r="P378" s="1">
        <v>3</v>
      </c>
      <c r="Q378" s="1">
        <v>10</v>
      </c>
      <c r="R378" s="1">
        <v>5</v>
      </c>
      <c r="S378" s="1">
        <v>9</v>
      </c>
    </row>
    <row r="379" spans="1:19" x14ac:dyDescent="0.25">
      <c r="A379" s="12">
        <v>37329</v>
      </c>
      <c r="B379" s="14" t="s">
        <v>396</v>
      </c>
      <c r="C379" s="14"/>
      <c r="D379" s="14"/>
      <c r="E379" s="1">
        <v>31</v>
      </c>
      <c r="F379" s="1">
        <f t="shared" si="3"/>
        <v>43.25</v>
      </c>
      <c r="G379" s="1">
        <v>56</v>
      </c>
      <c r="H379" s="1">
        <f t="shared" si="3"/>
        <v>48.5</v>
      </c>
      <c r="I379" s="1">
        <v>67</v>
      </c>
      <c r="J379" s="1">
        <f t="shared" si="3"/>
        <v>65</v>
      </c>
      <c r="M379" s="1">
        <v>10</v>
      </c>
      <c r="P379" s="1">
        <v>7</v>
      </c>
      <c r="Q379" s="1">
        <v>5</v>
      </c>
      <c r="R379" s="1">
        <v>3</v>
      </c>
      <c r="S379" s="1">
        <v>10</v>
      </c>
    </row>
    <row r="380" spans="1:19" x14ac:dyDescent="0.25">
      <c r="A380" s="12">
        <v>37336</v>
      </c>
      <c r="B380" s="14" t="s">
        <v>397</v>
      </c>
      <c r="C380" s="14"/>
      <c r="D380" s="14"/>
      <c r="E380" s="1">
        <v>36</v>
      </c>
      <c r="F380" s="1">
        <f t="shared" si="3"/>
        <v>46.25</v>
      </c>
      <c r="G380" s="1">
        <v>55</v>
      </c>
      <c r="H380" s="1">
        <f t="shared" si="3"/>
        <v>49.75</v>
      </c>
      <c r="I380" s="1">
        <v>59</v>
      </c>
      <c r="J380" s="1">
        <f t="shared" si="3"/>
        <v>62</v>
      </c>
      <c r="M380" s="1">
        <v>8</v>
      </c>
      <c r="P380" s="1">
        <v>8</v>
      </c>
      <c r="Q380" s="1">
        <v>7</v>
      </c>
      <c r="R380" s="1">
        <v>4</v>
      </c>
      <c r="S380" s="1">
        <v>11</v>
      </c>
    </row>
    <row r="381" spans="1:19" x14ac:dyDescent="0.25">
      <c r="A381" s="12">
        <v>37343</v>
      </c>
      <c r="B381" s="14" t="s">
        <v>398</v>
      </c>
      <c r="C381" s="14"/>
      <c r="D381" s="14"/>
      <c r="E381" s="1">
        <v>31</v>
      </c>
      <c r="F381" s="1">
        <f t="shared" si="3"/>
        <v>38.5</v>
      </c>
      <c r="G381" s="1">
        <v>45</v>
      </c>
      <c r="H381" s="1">
        <f t="shared" si="3"/>
        <v>51.5</v>
      </c>
      <c r="I381" s="1">
        <v>58</v>
      </c>
      <c r="J381" s="1">
        <f t="shared" si="3"/>
        <v>59</v>
      </c>
      <c r="M381" s="1">
        <v>6</v>
      </c>
      <c r="P381" s="1">
        <v>2</v>
      </c>
      <c r="Q381" s="1">
        <v>7</v>
      </c>
      <c r="R381" s="1">
        <v>4</v>
      </c>
      <c r="S381" s="1">
        <v>12</v>
      </c>
    </row>
    <row r="382" spans="1:19" x14ac:dyDescent="0.25">
      <c r="A382" s="12">
        <v>37350</v>
      </c>
      <c r="B382" s="14" t="s">
        <v>399</v>
      </c>
      <c r="C382" s="14"/>
      <c r="D382" s="14"/>
      <c r="E382" s="1">
        <v>29</v>
      </c>
      <c r="F382" s="1">
        <f t="shared" si="3"/>
        <v>30.75</v>
      </c>
      <c r="G382" s="1">
        <v>47</v>
      </c>
      <c r="H382" s="1">
        <f t="shared" si="3"/>
        <v>45</v>
      </c>
      <c r="I382" s="1">
        <v>53</v>
      </c>
      <c r="J382" s="1">
        <f t="shared" si="3"/>
        <v>58</v>
      </c>
      <c r="M382" s="1">
        <v>5</v>
      </c>
      <c r="P382" s="1">
        <v>4</v>
      </c>
      <c r="Q382" s="1">
        <v>3</v>
      </c>
      <c r="R382" s="1">
        <v>0</v>
      </c>
      <c r="S382" s="1">
        <v>13</v>
      </c>
    </row>
    <row r="383" spans="1:19" x14ac:dyDescent="0.25">
      <c r="A383" s="12">
        <v>37357</v>
      </c>
      <c r="B383" s="14" t="s">
        <v>400</v>
      </c>
      <c r="C383" s="14"/>
      <c r="D383" s="14"/>
      <c r="E383" s="1">
        <v>40</v>
      </c>
      <c r="F383" s="1">
        <f t="shared" si="3"/>
        <v>29.25</v>
      </c>
      <c r="G383" s="1">
        <v>52</v>
      </c>
      <c r="H383" s="1">
        <f t="shared" si="3"/>
        <v>49</v>
      </c>
      <c r="I383" s="1">
        <v>51</v>
      </c>
      <c r="J383" s="1">
        <f t="shared" si="3"/>
        <v>55.25</v>
      </c>
      <c r="M383" s="1">
        <v>5</v>
      </c>
      <c r="P383" s="1">
        <v>2</v>
      </c>
      <c r="Q383" s="1">
        <v>4</v>
      </c>
      <c r="R383" s="1">
        <v>1</v>
      </c>
      <c r="S383" s="1">
        <v>14</v>
      </c>
    </row>
    <row r="384" spans="1:19" x14ac:dyDescent="0.25">
      <c r="A384" s="12">
        <v>37364</v>
      </c>
      <c r="B384" s="14" t="s">
        <v>401</v>
      </c>
      <c r="C384" s="14"/>
      <c r="D384" s="14"/>
      <c r="E384" s="1">
        <v>29</v>
      </c>
      <c r="F384" s="1">
        <f t="shared" si="3"/>
        <v>24</v>
      </c>
      <c r="G384" s="1">
        <v>48</v>
      </c>
      <c r="H384" s="1">
        <f t="shared" si="3"/>
        <v>45.25</v>
      </c>
      <c r="I384" s="1">
        <v>68</v>
      </c>
      <c r="J384" s="1">
        <f t="shared" si="3"/>
        <v>54.75</v>
      </c>
      <c r="M384" s="1">
        <v>8</v>
      </c>
      <c r="P384" s="1">
        <v>4</v>
      </c>
      <c r="Q384" s="1">
        <v>3</v>
      </c>
      <c r="R384" s="1">
        <v>1</v>
      </c>
      <c r="S384" s="1">
        <v>15</v>
      </c>
    </row>
    <row r="385" spans="1:19" x14ac:dyDescent="0.25">
      <c r="A385" s="12">
        <v>37371</v>
      </c>
      <c r="B385" s="14" t="s">
        <v>402</v>
      </c>
      <c r="C385" s="14"/>
      <c r="D385" s="14"/>
      <c r="E385" s="1">
        <v>19</v>
      </c>
      <c r="F385" s="1">
        <f t="shared" si="3"/>
        <v>21.25</v>
      </c>
      <c r="G385" s="1">
        <v>47</v>
      </c>
      <c r="H385" s="1">
        <f t="shared" si="3"/>
        <v>42</v>
      </c>
      <c r="I385" s="1">
        <v>55</v>
      </c>
      <c r="J385" s="1">
        <f t="shared" si="3"/>
        <v>57.5</v>
      </c>
      <c r="M385" s="1">
        <v>7</v>
      </c>
      <c r="P385" s="1">
        <v>4</v>
      </c>
      <c r="Q385" s="1">
        <v>8</v>
      </c>
      <c r="R385" s="1">
        <v>0</v>
      </c>
      <c r="S385" s="1">
        <v>16</v>
      </c>
    </row>
    <row r="386" spans="1:19" x14ac:dyDescent="0.25">
      <c r="A386" s="12">
        <v>37378</v>
      </c>
      <c r="B386" s="14" t="s">
        <v>403</v>
      </c>
      <c r="C386" s="14"/>
      <c r="D386" s="14"/>
      <c r="E386" s="1">
        <v>26</v>
      </c>
      <c r="F386" s="1">
        <f t="shared" si="3"/>
        <v>25</v>
      </c>
      <c r="G386" s="1">
        <v>51</v>
      </c>
      <c r="H386" s="1">
        <f t="shared" si="3"/>
        <v>42</v>
      </c>
      <c r="I386" s="1">
        <v>50</v>
      </c>
      <c r="J386" s="1">
        <f t="shared" si="3"/>
        <v>47.5</v>
      </c>
      <c r="M386" s="1">
        <v>5</v>
      </c>
      <c r="P386" s="1">
        <v>12</v>
      </c>
      <c r="Q386" s="1">
        <v>5</v>
      </c>
      <c r="R386" s="1">
        <v>3</v>
      </c>
      <c r="S386" s="1">
        <v>17</v>
      </c>
    </row>
    <row r="387" spans="1:19" x14ac:dyDescent="0.25">
      <c r="A387" s="12">
        <v>37385</v>
      </c>
      <c r="B387" s="14" t="s">
        <v>404</v>
      </c>
      <c r="C387" s="14"/>
      <c r="D387" s="14"/>
      <c r="E387" s="1">
        <v>22</v>
      </c>
      <c r="F387" s="1">
        <f t="shared" si="3"/>
        <v>25.75</v>
      </c>
      <c r="G387" s="1">
        <v>44</v>
      </c>
      <c r="H387" s="1">
        <f t="shared" si="3"/>
        <v>41</v>
      </c>
      <c r="I387" s="1">
        <v>56</v>
      </c>
      <c r="J387" s="1">
        <f t="shared" si="3"/>
        <v>56.25</v>
      </c>
      <c r="M387" s="1">
        <v>5</v>
      </c>
      <c r="P387" s="1">
        <v>11</v>
      </c>
      <c r="Q387" s="1">
        <v>10</v>
      </c>
      <c r="R387" s="1">
        <v>3</v>
      </c>
      <c r="S387" s="1">
        <v>18</v>
      </c>
    </row>
    <row r="388" spans="1:19" x14ac:dyDescent="0.25">
      <c r="A388" s="12">
        <v>37392</v>
      </c>
      <c r="B388" s="14" t="s">
        <v>405</v>
      </c>
      <c r="C388" s="14"/>
      <c r="D388" s="14"/>
      <c r="E388" s="1">
        <v>30</v>
      </c>
      <c r="F388" s="1">
        <f t="shared" si="3"/>
        <v>23</v>
      </c>
      <c r="G388" s="1">
        <v>50</v>
      </c>
      <c r="H388" s="1">
        <f t="shared" si="3"/>
        <v>47.25</v>
      </c>
      <c r="I388" s="1">
        <v>69</v>
      </c>
      <c r="J388" s="1">
        <f t="shared" si="3"/>
        <v>55</v>
      </c>
      <c r="M388" s="1">
        <v>4</v>
      </c>
      <c r="P388" s="1">
        <v>9</v>
      </c>
      <c r="Q388" s="1">
        <v>6</v>
      </c>
      <c r="R388" s="1">
        <v>1</v>
      </c>
      <c r="S388" s="1">
        <v>19</v>
      </c>
    </row>
    <row r="389" spans="1:19" x14ac:dyDescent="0.25">
      <c r="A389" s="12">
        <v>37399</v>
      </c>
      <c r="B389" s="14" t="s">
        <v>406</v>
      </c>
      <c r="C389" s="14"/>
      <c r="D389" s="14"/>
      <c r="E389" s="1">
        <v>32</v>
      </c>
      <c r="F389" s="1">
        <f t="shared" si="3"/>
        <v>24</v>
      </c>
      <c r="G389" s="1">
        <v>47</v>
      </c>
      <c r="H389" s="1">
        <f t="shared" si="3"/>
        <v>43.25</v>
      </c>
      <c r="I389" s="1">
        <v>54</v>
      </c>
      <c r="J389" s="1">
        <f t="shared" si="3"/>
        <v>54.5</v>
      </c>
      <c r="M389" s="1">
        <v>6</v>
      </c>
      <c r="P389" s="1">
        <v>8</v>
      </c>
      <c r="Q389" s="1">
        <v>4</v>
      </c>
      <c r="R389" s="1">
        <v>6</v>
      </c>
      <c r="S389" s="1">
        <v>20</v>
      </c>
    </row>
    <row r="390" spans="1:19" x14ac:dyDescent="0.25">
      <c r="A390" s="12">
        <v>37406</v>
      </c>
      <c r="B390" s="14" t="s">
        <v>407</v>
      </c>
      <c r="C390" s="14"/>
      <c r="D390" s="14"/>
      <c r="E390" s="1">
        <v>36</v>
      </c>
      <c r="F390" s="1">
        <f t="shared" si="3"/>
        <v>24.75</v>
      </c>
      <c r="G390" s="1">
        <v>43</v>
      </c>
      <c r="H390" s="1">
        <f t="shared" si="3"/>
        <v>42</v>
      </c>
      <c r="I390" s="1">
        <v>52</v>
      </c>
      <c r="J390" s="1">
        <f t="shared" si="3"/>
        <v>53.75</v>
      </c>
      <c r="M390" s="1">
        <v>9</v>
      </c>
      <c r="P390" s="1">
        <v>12</v>
      </c>
      <c r="Q390" s="1">
        <v>5</v>
      </c>
      <c r="R390" s="1">
        <v>2</v>
      </c>
      <c r="S390" s="1">
        <v>21</v>
      </c>
    </row>
    <row r="391" spans="1:19" x14ac:dyDescent="0.25">
      <c r="A391" s="12">
        <v>37413</v>
      </c>
      <c r="B391" s="14" t="s">
        <v>408</v>
      </c>
      <c r="C391" s="14"/>
      <c r="D391" s="14"/>
      <c r="E391" s="1">
        <v>38</v>
      </c>
      <c r="F391" s="1">
        <f t="shared" si="3"/>
        <v>27</v>
      </c>
      <c r="G391" s="1">
        <v>38</v>
      </c>
      <c r="H391" s="1">
        <f t="shared" si="3"/>
        <v>43.25</v>
      </c>
      <c r="I391" s="1">
        <v>60</v>
      </c>
      <c r="J391" s="1">
        <f t="shared" si="3"/>
        <v>55.5</v>
      </c>
      <c r="M391" s="1">
        <v>9</v>
      </c>
      <c r="P391" s="1">
        <v>6</v>
      </c>
      <c r="Q391" s="1">
        <v>7</v>
      </c>
      <c r="R391" s="1">
        <v>2</v>
      </c>
      <c r="S391" s="1">
        <v>22</v>
      </c>
    </row>
    <row r="392" spans="1:19" x14ac:dyDescent="0.25">
      <c r="A392" s="12">
        <v>37420</v>
      </c>
      <c r="B392" s="14" t="s">
        <v>409</v>
      </c>
      <c r="C392" s="14"/>
      <c r="D392" s="14"/>
      <c r="E392" s="1">
        <v>35</v>
      </c>
      <c r="F392" s="1">
        <f t="shared" si="3"/>
        <v>30.5</v>
      </c>
      <c r="G392" s="1">
        <v>42</v>
      </c>
      <c r="H392" s="1">
        <f t="shared" si="3"/>
        <v>43</v>
      </c>
      <c r="I392" s="1">
        <v>58</v>
      </c>
      <c r="J392" s="1">
        <f t="shared" si="3"/>
        <v>65.75</v>
      </c>
      <c r="M392" s="1">
        <v>4</v>
      </c>
      <c r="P392" s="1">
        <v>8</v>
      </c>
      <c r="Q392" s="1">
        <v>4</v>
      </c>
      <c r="R392" s="1">
        <v>2</v>
      </c>
      <c r="S392" s="1">
        <v>23</v>
      </c>
    </row>
    <row r="393" spans="1:19" x14ac:dyDescent="0.25">
      <c r="A393" s="12">
        <v>37427</v>
      </c>
      <c r="B393" s="14" t="s">
        <v>410</v>
      </c>
      <c r="C393" s="14"/>
      <c r="D393" s="14"/>
      <c r="E393" s="1">
        <v>37</v>
      </c>
      <c r="F393" s="1">
        <f t="shared" si="3"/>
        <v>27.25</v>
      </c>
      <c r="G393" s="1">
        <v>51</v>
      </c>
      <c r="H393" s="1">
        <f t="shared" si="3"/>
        <v>47</v>
      </c>
      <c r="I393" s="1">
        <v>63</v>
      </c>
      <c r="J393" s="1">
        <f t="shared" si="3"/>
        <v>62.5</v>
      </c>
      <c r="M393" s="1">
        <v>4</v>
      </c>
      <c r="P393" s="1">
        <v>2</v>
      </c>
      <c r="Q393" s="1">
        <v>7</v>
      </c>
      <c r="R393" s="1">
        <v>5</v>
      </c>
      <c r="S393" s="1">
        <v>24</v>
      </c>
    </row>
    <row r="394" spans="1:19" x14ac:dyDescent="0.25">
      <c r="A394" s="12">
        <v>37434</v>
      </c>
      <c r="B394" s="14" t="s">
        <v>411</v>
      </c>
      <c r="C394" s="14"/>
      <c r="D394" s="14"/>
      <c r="E394" s="1">
        <v>27</v>
      </c>
      <c r="F394" s="1">
        <f t="shared" si="3"/>
        <v>27.75</v>
      </c>
      <c r="G394" s="1">
        <v>40</v>
      </c>
      <c r="H394" s="1">
        <f t="shared" si="3"/>
        <v>49.75</v>
      </c>
      <c r="I394" s="1">
        <v>65</v>
      </c>
      <c r="J394" s="1">
        <f t="shared" si="3"/>
        <v>59</v>
      </c>
      <c r="M394" s="1">
        <v>11</v>
      </c>
      <c r="P394" s="1">
        <v>8</v>
      </c>
      <c r="Q394" s="1">
        <v>4</v>
      </c>
      <c r="R394" s="1">
        <v>2</v>
      </c>
      <c r="S394" s="1">
        <v>25</v>
      </c>
    </row>
    <row r="395" spans="1:19" x14ac:dyDescent="0.25">
      <c r="A395" s="12">
        <v>37441</v>
      </c>
      <c r="B395" s="14" t="s">
        <v>412</v>
      </c>
      <c r="C395" s="14"/>
      <c r="D395" s="14"/>
      <c r="E395" s="1">
        <v>44</v>
      </c>
      <c r="F395" s="1">
        <f t="shared" si="3"/>
        <v>32.5</v>
      </c>
      <c r="G395" s="1">
        <v>52</v>
      </c>
      <c r="H395" s="1">
        <f t="shared" si="3"/>
        <v>43.75</v>
      </c>
      <c r="I395" s="1">
        <v>61</v>
      </c>
      <c r="J395" s="1">
        <f t="shared" si="3"/>
        <v>61.75</v>
      </c>
      <c r="M395" s="1">
        <v>6</v>
      </c>
      <c r="P395" s="1">
        <v>5</v>
      </c>
      <c r="Q395" s="1">
        <v>4</v>
      </c>
      <c r="R395" s="1">
        <v>2</v>
      </c>
      <c r="S395" s="1">
        <v>26</v>
      </c>
    </row>
    <row r="396" spans="1:19" x14ac:dyDescent="0.25">
      <c r="A396" s="12">
        <v>37448</v>
      </c>
      <c r="B396" s="14" t="s">
        <v>413</v>
      </c>
      <c r="C396" s="14"/>
      <c r="D396" s="14"/>
      <c r="E396" s="1">
        <v>36</v>
      </c>
      <c r="F396" s="1">
        <f t="shared" si="3"/>
        <v>31.25</v>
      </c>
      <c r="G396" s="1">
        <v>56</v>
      </c>
      <c r="H396" s="1">
        <f t="shared" si="3"/>
        <v>46.75</v>
      </c>
      <c r="I396" s="1">
        <v>70</v>
      </c>
      <c r="J396" s="1">
        <f t="shared" si="3"/>
        <v>57.5</v>
      </c>
      <c r="M396" s="1">
        <v>3</v>
      </c>
      <c r="P396" s="1">
        <v>4</v>
      </c>
      <c r="Q396" s="1">
        <v>2</v>
      </c>
      <c r="R396" s="1">
        <v>0</v>
      </c>
      <c r="S396" s="1">
        <v>27</v>
      </c>
    </row>
    <row r="397" spans="1:19" x14ac:dyDescent="0.25">
      <c r="A397" s="12">
        <v>37455</v>
      </c>
      <c r="B397" s="14" t="s">
        <v>414</v>
      </c>
      <c r="C397" s="14"/>
      <c r="D397" s="14"/>
      <c r="E397" s="1">
        <v>40</v>
      </c>
      <c r="F397" s="1">
        <f t="shared" si="3"/>
        <v>26.75</v>
      </c>
      <c r="G397" s="1">
        <v>52</v>
      </c>
      <c r="H397" s="1">
        <f t="shared" si="3"/>
        <v>47.5</v>
      </c>
      <c r="I397" s="1">
        <v>44</v>
      </c>
      <c r="J397" s="1">
        <f t="shared" si="3"/>
        <v>62.25</v>
      </c>
      <c r="M397" s="1">
        <v>3</v>
      </c>
      <c r="P397" s="1">
        <v>7</v>
      </c>
      <c r="Q397" s="1">
        <v>6</v>
      </c>
      <c r="R397" s="1">
        <v>0</v>
      </c>
      <c r="S397" s="1">
        <v>28</v>
      </c>
    </row>
    <row r="398" spans="1:19" x14ac:dyDescent="0.25">
      <c r="A398" s="12">
        <v>37462</v>
      </c>
      <c r="B398" s="14" t="s">
        <v>415</v>
      </c>
      <c r="C398" s="14"/>
      <c r="D398" s="14"/>
      <c r="E398" s="1">
        <v>24</v>
      </c>
      <c r="F398" s="1">
        <f t="shared" si="3"/>
        <v>34.75</v>
      </c>
      <c r="G398" s="1">
        <v>52</v>
      </c>
      <c r="H398" s="1">
        <f t="shared" si="3"/>
        <v>50.25</v>
      </c>
      <c r="I398" s="1">
        <v>65</v>
      </c>
      <c r="J398" s="1">
        <f t="shared" si="3"/>
        <v>61</v>
      </c>
      <c r="M398" s="1">
        <v>7</v>
      </c>
      <c r="P398" s="1">
        <v>5</v>
      </c>
      <c r="Q398" s="1">
        <v>4</v>
      </c>
      <c r="R398" s="1">
        <v>0</v>
      </c>
      <c r="S398" s="1">
        <v>29</v>
      </c>
    </row>
    <row r="399" spans="1:19" x14ac:dyDescent="0.25">
      <c r="A399" s="12">
        <v>37469</v>
      </c>
      <c r="B399" s="14" t="s">
        <v>416</v>
      </c>
      <c r="C399" s="14"/>
      <c r="D399" s="14"/>
      <c r="E399" s="1">
        <v>22</v>
      </c>
      <c r="F399" s="1">
        <f t="shared" si="3"/>
        <v>31.5</v>
      </c>
      <c r="G399" s="1">
        <v>51</v>
      </c>
      <c r="H399" s="1">
        <f t="shared" si="3"/>
        <v>52.75</v>
      </c>
      <c r="I399" s="1">
        <v>67</v>
      </c>
      <c r="J399" s="1">
        <f t="shared" si="3"/>
        <v>67</v>
      </c>
      <c r="M399" s="1">
        <v>8</v>
      </c>
      <c r="P399" s="1">
        <v>5</v>
      </c>
      <c r="Q399" s="1">
        <v>5</v>
      </c>
      <c r="R399" s="1">
        <v>2</v>
      </c>
      <c r="S399" s="1">
        <v>30</v>
      </c>
    </row>
    <row r="400" spans="1:19" x14ac:dyDescent="0.25">
      <c r="A400" s="12">
        <v>37476</v>
      </c>
      <c r="B400" s="14" t="s">
        <v>417</v>
      </c>
      <c r="C400" s="14"/>
      <c r="D400" s="14"/>
      <c r="E400" s="1">
        <v>28</v>
      </c>
      <c r="F400" s="1">
        <f t="shared" si="3"/>
        <v>35</v>
      </c>
      <c r="G400" s="1">
        <v>59</v>
      </c>
      <c r="H400" s="1">
        <f t="shared" si="3"/>
        <v>48</v>
      </c>
      <c r="I400" s="1">
        <v>75</v>
      </c>
      <c r="J400" s="1">
        <f t="shared" si="3"/>
        <v>67</v>
      </c>
      <c r="M400" s="1">
        <v>4</v>
      </c>
      <c r="P400" s="1">
        <v>5</v>
      </c>
      <c r="Q400" s="1">
        <v>3</v>
      </c>
      <c r="R400" s="1">
        <v>2</v>
      </c>
      <c r="S400" s="1">
        <v>31</v>
      </c>
    </row>
    <row r="401" spans="1:19" x14ac:dyDescent="0.25">
      <c r="A401" s="12">
        <v>37483</v>
      </c>
      <c r="B401" s="14" t="s">
        <v>418</v>
      </c>
      <c r="C401" s="14"/>
      <c r="D401" s="14"/>
      <c r="E401" s="1">
        <v>25</v>
      </c>
      <c r="F401" s="1">
        <f t="shared" si="3"/>
        <v>33.5</v>
      </c>
      <c r="G401" s="1">
        <v>46</v>
      </c>
      <c r="H401" s="1">
        <f t="shared" si="3"/>
        <v>52</v>
      </c>
      <c r="I401" s="1">
        <v>52</v>
      </c>
      <c r="J401" s="1">
        <f t="shared" si="3"/>
        <v>57.75</v>
      </c>
      <c r="M401" s="1">
        <v>10</v>
      </c>
      <c r="P401" s="1">
        <v>5</v>
      </c>
      <c r="Q401" s="1">
        <v>7</v>
      </c>
      <c r="R401" s="1">
        <v>4</v>
      </c>
      <c r="S401" s="1">
        <v>32</v>
      </c>
    </row>
    <row r="402" spans="1:19" x14ac:dyDescent="0.25">
      <c r="A402" s="12">
        <v>37490</v>
      </c>
      <c r="B402" s="14" t="s">
        <v>419</v>
      </c>
      <c r="C402" s="14"/>
      <c r="D402" s="14"/>
      <c r="E402" s="1">
        <v>32</v>
      </c>
      <c r="F402" s="1">
        <f t="shared" si="3"/>
        <v>37.25</v>
      </c>
      <c r="G402" s="1">
        <v>57</v>
      </c>
      <c r="H402" s="1">
        <f t="shared" si="3"/>
        <v>52.25</v>
      </c>
      <c r="I402" s="1">
        <v>55</v>
      </c>
      <c r="J402" s="1">
        <f t="shared" si="3"/>
        <v>68.75</v>
      </c>
      <c r="M402" s="1">
        <v>8</v>
      </c>
      <c r="P402" s="1">
        <v>6</v>
      </c>
      <c r="Q402" s="1">
        <v>6</v>
      </c>
      <c r="R402" s="1">
        <v>1</v>
      </c>
      <c r="S402" s="1">
        <v>33</v>
      </c>
    </row>
    <row r="403" spans="1:19" x14ac:dyDescent="0.25">
      <c r="A403" s="12">
        <v>37497</v>
      </c>
      <c r="B403" s="14" t="s">
        <v>420</v>
      </c>
      <c r="C403" s="14"/>
      <c r="D403" s="14"/>
      <c r="E403" s="1">
        <v>27</v>
      </c>
      <c r="F403" s="1">
        <f t="shared" si="3"/>
        <v>35.25</v>
      </c>
      <c r="G403" s="1">
        <v>58</v>
      </c>
      <c r="H403" s="1">
        <f t="shared" si="3"/>
        <v>50.75</v>
      </c>
      <c r="I403" s="1">
        <v>63</v>
      </c>
      <c r="J403" s="1">
        <f t="shared" si="3"/>
        <v>63.5</v>
      </c>
      <c r="M403" s="1">
        <v>5</v>
      </c>
      <c r="P403" s="1">
        <v>4</v>
      </c>
      <c r="Q403" s="1">
        <v>2</v>
      </c>
      <c r="R403" s="1">
        <v>0</v>
      </c>
      <c r="S403" s="1">
        <v>34</v>
      </c>
    </row>
    <row r="404" spans="1:19" x14ac:dyDescent="0.25">
      <c r="A404" s="12">
        <v>37504</v>
      </c>
      <c r="B404" s="14" t="s">
        <v>421</v>
      </c>
      <c r="C404" s="14"/>
      <c r="D404" s="14"/>
      <c r="E404" s="1">
        <v>35</v>
      </c>
      <c r="F404" s="1">
        <f t="shared" si="3"/>
        <v>38</v>
      </c>
      <c r="G404" s="1">
        <v>49</v>
      </c>
      <c r="H404" s="1">
        <f t="shared" si="3"/>
        <v>49</v>
      </c>
      <c r="I404" s="1">
        <v>47</v>
      </c>
      <c r="J404" s="1">
        <f t="shared" si="3"/>
        <v>61.5</v>
      </c>
      <c r="M404" s="1">
        <v>8</v>
      </c>
      <c r="P404" s="1">
        <v>4</v>
      </c>
      <c r="Q404" s="1">
        <v>3</v>
      </c>
      <c r="R404" s="1">
        <v>3</v>
      </c>
      <c r="S404" s="1">
        <v>35</v>
      </c>
    </row>
    <row r="405" spans="1:19" x14ac:dyDescent="0.25">
      <c r="A405" s="12">
        <v>37511</v>
      </c>
      <c r="B405" s="14" t="s">
        <v>422</v>
      </c>
      <c r="C405" s="14"/>
      <c r="D405" s="14"/>
      <c r="E405" s="1">
        <v>24</v>
      </c>
      <c r="F405" s="1">
        <f t="shared" si="3"/>
        <v>40.5</v>
      </c>
      <c r="G405" s="1">
        <v>48</v>
      </c>
      <c r="H405" s="1">
        <f t="shared" si="3"/>
        <v>49.25</v>
      </c>
      <c r="I405" s="1">
        <v>51</v>
      </c>
      <c r="J405" s="1">
        <f t="shared" si="3"/>
        <v>61</v>
      </c>
      <c r="M405" s="1">
        <v>8</v>
      </c>
      <c r="P405" s="1">
        <v>5</v>
      </c>
      <c r="Q405" s="1">
        <v>4</v>
      </c>
      <c r="R405" s="1">
        <v>1</v>
      </c>
      <c r="S405" s="1">
        <v>36</v>
      </c>
    </row>
    <row r="406" spans="1:19" x14ac:dyDescent="0.25">
      <c r="A406" s="12">
        <v>37518</v>
      </c>
      <c r="B406" s="14" t="s">
        <v>423</v>
      </c>
      <c r="C406" s="14"/>
      <c r="D406" s="14"/>
      <c r="E406" s="1">
        <v>17</v>
      </c>
      <c r="F406" s="1">
        <f t="shared" si="3"/>
        <v>40.5</v>
      </c>
      <c r="G406" s="1">
        <v>48</v>
      </c>
      <c r="H406" s="1">
        <f t="shared" si="3"/>
        <v>52.25</v>
      </c>
      <c r="I406" s="1">
        <v>61</v>
      </c>
      <c r="J406" s="1">
        <f t="shared" si="3"/>
        <v>67.25</v>
      </c>
      <c r="M406" s="1">
        <v>7</v>
      </c>
      <c r="P406" s="1">
        <v>5</v>
      </c>
      <c r="Q406" s="1">
        <v>3</v>
      </c>
      <c r="R406" s="1">
        <v>0</v>
      </c>
      <c r="S406" s="1">
        <v>37</v>
      </c>
    </row>
    <row r="407" spans="1:19" x14ac:dyDescent="0.25">
      <c r="A407" s="12">
        <v>37525</v>
      </c>
      <c r="B407" s="14" t="s">
        <v>424</v>
      </c>
      <c r="C407" s="14"/>
      <c r="D407" s="14"/>
      <c r="E407" s="1">
        <v>22</v>
      </c>
      <c r="F407" s="1">
        <f t="shared" si="3"/>
        <v>38.25</v>
      </c>
      <c r="G407" s="1">
        <v>40</v>
      </c>
      <c r="H407" s="1">
        <f t="shared" si="3"/>
        <v>47</v>
      </c>
      <c r="I407" s="1">
        <v>68</v>
      </c>
      <c r="J407" s="1">
        <f t="shared" si="3"/>
        <v>64</v>
      </c>
      <c r="M407" s="1">
        <v>8</v>
      </c>
      <c r="P407" s="1">
        <v>4</v>
      </c>
      <c r="Q407" s="1">
        <v>5</v>
      </c>
      <c r="R407" s="1">
        <v>0</v>
      </c>
      <c r="S407" s="1">
        <v>38</v>
      </c>
    </row>
    <row r="408" spans="1:19" x14ac:dyDescent="0.25">
      <c r="A408" s="12">
        <v>37532</v>
      </c>
      <c r="B408" s="14" t="s">
        <v>425</v>
      </c>
      <c r="C408" s="14"/>
      <c r="D408" s="14"/>
      <c r="E408" s="1">
        <v>15</v>
      </c>
      <c r="F408" s="1">
        <f t="shared" si="3"/>
        <v>39.5</v>
      </c>
      <c r="G408" s="1">
        <v>43</v>
      </c>
      <c r="H408" s="1">
        <f t="shared" si="3"/>
        <v>50.25</v>
      </c>
      <c r="I408" s="1">
        <v>69</v>
      </c>
      <c r="J408" s="1">
        <f t="shared" si="3"/>
        <v>68.75</v>
      </c>
      <c r="M408" s="1">
        <v>9</v>
      </c>
      <c r="P408" s="1">
        <v>4</v>
      </c>
      <c r="Q408" s="1">
        <v>2</v>
      </c>
      <c r="R408" s="1">
        <v>0</v>
      </c>
      <c r="S408" s="1">
        <v>39</v>
      </c>
    </row>
    <row r="409" spans="1:19" x14ac:dyDescent="0.25">
      <c r="A409" s="12">
        <v>37539</v>
      </c>
      <c r="B409" s="14" t="s">
        <v>426</v>
      </c>
      <c r="C409" s="14"/>
      <c r="D409" s="14"/>
      <c r="E409" s="1">
        <v>43</v>
      </c>
      <c r="F409" s="1">
        <f t="shared" si="3"/>
        <v>38</v>
      </c>
      <c r="G409" s="1">
        <v>33</v>
      </c>
      <c r="H409" s="1">
        <f t="shared" si="3"/>
        <v>57</v>
      </c>
      <c r="I409" s="1">
        <v>73</v>
      </c>
      <c r="J409" s="1">
        <f t="shared" si="3"/>
        <v>75.25</v>
      </c>
      <c r="M409" s="1">
        <v>14</v>
      </c>
      <c r="P409" s="1">
        <v>2</v>
      </c>
      <c r="Q409" s="1">
        <v>2</v>
      </c>
      <c r="R409" s="1">
        <v>0</v>
      </c>
      <c r="S409" s="1">
        <v>40</v>
      </c>
    </row>
    <row r="410" spans="1:19" x14ac:dyDescent="0.25">
      <c r="A410" s="12">
        <v>37546</v>
      </c>
      <c r="B410" s="14" t="s">
        <v>427</v>
      </c>
      <c r="C410" s="14"/>
      <c r="D410" s="14"/>
      <c r="E410" s="1">
        <v>41</v>
      </c>
      <c r="F410" s="1">
        <f t="shared" si="3"/>
        <v>41.25</v>
      </c>
      <c r="G410" s="1">
        <v>52</v>
      </c>
      <c r="H410" s="1">
        <f t="shared" si="3"/>
        <v>52</v>
      </c>
      <c r="I410" s="1">
        <v>72</v>
      </c>
      <c r="J410" s="1">
        <f t="shared" si="3"/>
        <v>68</v>
      </c>
      <c r="M410" s="1">
        <v>14</v>
      </c>
      <c r="P410" s="1">
        <v>1</v>
      </c>
      <c r="Q410" s="1">
        <v>0</v>
      </c>
      <c r="R410" s="1">
        <v>0</v>
      </c>
      <c r="S410" s="1">
        <v>41</v>
      </c>
    </row>
    <row r="411" spans="1:19" x14ac:dyDescent="0.25">
      <c r="A411" s="12">
        <v>37553</v>
      </c>
      <c r="B411" s="14" t="s">
        <v>428</v>
      </c>
      <c r="C411" s="14"/>
      <c r="D411" s="14"/>
      <c r="E411" s="1">
        <v>46</v>
      </c>
      <c r="F411" s="1">
        <f t="shared" si="3"/>
        <v>36.5</v>
      </c>
      <c r="G411" s="1">
        <v>53</v>
      </c>
      <c r="H411" s="1">
        <f t="shared" si="3"/>
        <v>57.5</v>
      </c>
      <c r="I411" s="1">
        <v>71</v>
      </c>
      <c r="J411" s="1">
        <f t="shared" si="3"/>
        <v>70</v>
      </c>
      <c r="M411" s="1">
        <v>14</v>
      </c>
      <c r="P411" s="1">
        <v>2</v>
      </c>
      <c r="Q411" s="1">
        <v>1</v>
      </c>
      <c r="R411" s="1">
        <v>0</v>
      </c>
      <c r="S411" s="1">
        <v>42</v>
      </c>
    </row>
    <row r="412" spans="1:19" x14ac:dyDescent="0.25">
      <c r="A412" s="12">
        <v>37560</v>
      </c>
      <c r="B412" s="14" t="s">
        <v>429</v>
      </c>
      <c r="C412" s="14"/>
      <c r="D412" s="14"/>
      <c r="E412" s="1">
        <v>43</v>
      </c>
      <c r="F412" s="1">
        <f t="shared" si="3"/>
        <v>40.5</v>
      </c>
      <c r="G412" s="1">
        <v>58</v>
      </c>
      <c r="H412" s="1">
        <f t="shared" si="3"/>
        <v>56.75</v>
      </c>
      <c r="I412" s="1">
        <v>75</v>
      </c>
      <c r="J412" s="1">
        <f t="shared" si="3"/>
        <v>73</v>
      </c>
      <c r="M412" s="1">
        <v>12</v>
      </c>
      <c r="P412" s="1">
        <v>1</v>
      </c>
      <c r="Q412" s="1">
        <v>1</v>
      </c>
      <c r="R412" s="1">
        <v>1</v>
      </c>
      <c r="S412" s="1">
        <v>43</v>
      </c>
    </row>
    <row r="413" spans="1:19" x14ac:dyDescent="0.25">
      <c r="A413" s="12">
        <v>37567</v>
      </c>
      <c r="B413" s="14" t="s">
        <v>430</v>
      </c>
      <c r="C413" s="14"/>
      <c r="D413" s="14"/>
      <c r="E413" s="1">
        <v>55</v>
      </c>
      <c r="F413" s="1">
        <f t="shared" si="3"/>
        <v>41.25</v>
      </c>
      <c r="G413" s="1">
        <v>55</v>
      </c>
      <c r="H413" s="1">
        <f t="shared" si="3"/>
        <v>55.75</v>
      </c>
      <c r="I413" s="1">
        <v>82</v>
      </c>
      <c r="J413" s="1">
        <f t="shared" si="3"/>
        <v>64.25</v>
      </c>
      <c r="M413" s="1">
        <v>10</v>
      </c>
      <c r="P413" s="1">
        <v>3</v>
      </c>
      <c r="Q413" s="1">
        <v>0</v>
      </c>
      <c r="R413" s="1">
        <v>2</v>
      </c>
      <c r="S413" s="1">
        <v>44</v>
      </c>
    </row>
    <row r="414" spans="1:19" x14ac:dyDescent="0.25">
      <c r="A414" s="12">
        <v>37574</v>
      </c>
      <c r="B414" s="14" t="s">
        <v>431</v>
      </c>
      <c r="C414" s="14"/>
      <c r="D414" s="14"/>
      <c r="E414" s="1">
        <v>46</v>
      </c>
      <c r="F414" s="1">
        <f t="shared" si="3"/>
        <v>33.25</v>
      </c>
      <c r="G414" s="1">
        <v>53</v>
      </c>
      <c r="H414" s="1">
        <f t="shared" si="3"/>
        <v>56</v>
      </c>
      <c r="I414" s="1">
        <v>76</v>
      </c>
      <c r="J414" s="1">
        <f t="shared" si="3"/>
        <v>74.5</v>
      </c>
      <c r="M414" s="1">
        <v>8</v>
      </c>
      <c r="P414" s="1">
        <v>5</v>
      </c>
      <c r="Q414" s="1">
        <v>0</v>
      </c>
      <c r="R414" s="1">
        <v>4</v>
      </c>
      <c r="S414" s="1">
        <v>45</v>
      </c>
    </row>
    <row r="415" spans="1:19" x14ac:dyDescent="0.25">
      <c r="A415" s="12">
        <v>37581</v>
      </c>
      <c r="B415" s="14" t="s">
        <v>432</v>
      </c>
      <c r="C415" s="14"/>
      <c r="D415" s="14"/>
      <c r="E415" s="1">
        <v>40</v>
      </c>
      <c r="F415" s="1">
        <f t="shared" si="3"/>
        <v>36.5</v>
      </c>
      <c r="G415" s="1">
        <v>55</v>
      </c>
      <c r="H415" s="1">
        <f t="shared" si="3"/>
        <v>51.5</v>
      </c>
      <c r="I415" s="1">
        <v>67</v>
      </c>
      <c r="J415" s="1">
        <f t="shared" si="3"/>
        <v>69</v>
      </c>
      <c r="M415" s="1">
        <v>10</v>
      </c>
      <c r="P415" s="1">
        <v>6</v>
      </c>
      <c r="Q415" s="1">
        <v>4</v>
      </c>
      <c r="R415" s="1">
        <v>0</v>
      </c>
      <c r="S415" s="1">
        <v>46</v>
      </c>
    </row>
    <row r="416" spans="1:19" x14ac:dyDescent="0.25">
      <c r="A416" s="12">
        <v>37588</v>
      </c>
      <c r="B416" s="14" t="s">
        <v>433</v>
      </c>
      <c r="C416" s="14"/>
      <c r="D416" s="14"/>
      <c r="E416" s="1">
        <v>39</v>
      </c>
      <c r="F416" s="1">
        <f t="shared" si="3"/>
        <v>43.5</v>
      </c>
      <c r="G416" s="1">
        <v>55</v>
      </c>
      <c r="H416" s="1">
        <f t="shared" si="3"/>
        <v>50</v>
      </c>
      <c r="I416" s="1">
        <v>54</v>
      </c>
      <c r="J416" s="1">
        <f t="shared" si="3"/>
        <v>74.25</v>
      </c>
      <c r="M416" s="1">
        <v>9</v>
      </c>
      <c r="P416" s="1">
        <v>5</v>
      </c>
      <c r="Q416" s="1">
        <v>2</v>
      </c>
      <c r="R416" s="1">
        <v>0</v>
      </c>
      <c r="S416" s="1">
        <v>47</v>
      </c>
    </row>
    <row r="417" spans="1:19" x14ac:dyDescent="0.25">
      <c r="A417" s="12">
        <v>37595</v>
      </c>
      <c r="B417" s="14" t="s">
        <v>434</v>
      </c>
      <c r="C417" s="14"/>
      <c r="D417" s="14"/>
      <c r="E417" s="1">
        <v>37</v>
      </c>
      <c r="F417" s="1">
        <f t="shared" si="3"/>
        <v>44.25</v>
      </c>
      <c r="G417" s="1">
        <v>54</v>
      </c>
      <c r="H417" s="1">
        <f t="shared" si="3"/>
        <v>53.5</v>
      </c>
      <c r="I417" s="1">
        <v>69</v>
      </c>
      <c r="J417" s="1">
        <f t="shared" si="3"/>
        <v>75.5</v>
      </c>
      <c r="M417" s="1">
        <v>10</v>
      </c>
      <c r="P417" s="1">
        <v>2</v>
      </c>
      <c r="Q417" s="1">
        <v>4</v>
      </c>
      <c r="R417" s="1">
        <v>0</v>
      </c>
      <c r="S417" s="1">
        <v>48</v>
      </c>
    </row>
    <row r="418" spans="1:19" x14ac:dyDescent="0.25">
      <c r="A418" s="12">
        <v>37602</v>
      </c>
      <c r="B418" s="14" t="s">
        <v>435</v>
      </c>
      <c r="C418" s="14"/>
      <c r="D418" s="14"/>
      <c r="E418" s="1">
        <v>33</v>
      </c>
      <c r="F418" s="1">
        <f t="shared" si="3"/>
        <v>42</v>
      </c>
      <c r="G418" s="1">
        <v>48</v>
      </c>
      <c r="H418" s="1">
        <f t="shared" si="3"/>
        <v>58</v>
      </c>
      <c r="I418" s="1">
        <v>87</v>
      </c>
      <c r="J418" s="1">
        <f t="shared" si="3"/>
        <v>69.75</v>
      </c>
      <c r="M418" s="1">
        <v>15</v>
      </c>
      <c r="P418" s="1">
        <v>1</v>
      </c>
      <c r="Q418" s="1">
        <v>2</v>
      </c>
      <c r="R418" s="1">
        <v>0</v>
      </c>
      <c r="S418" s="1">
        <v>49</v>
      </c>
    </row>
    <row r="419" spans="1:19" x14ac:dyDescent="0.25">
      <c r="A419" s="12">
        <v>37609</v>
      </c>
      <c r="B419" s="14" t="s">
        <v>436</v>
      </c>
      <c r="C419" s="14"/>
      <c r="D419" s="14"/>
      <c r="E419" s="1">
        <v>38</v>
      </c>
      <c r="F419" s="1">
        <f t="shared" si="3"/>
        <v>32.25</v>
      </c>
      <c r="G419" s="1">
        <v>47</v>
      </c>
      <c r="H419" s="1">
        <f t="shared" si="3"/>
        <v>50.5</v>
      </c>
      <c r="I419" s="1">
        <v>74</v>
      </c>
      <c r="J419" s="1">
        <f t="shared" si="3"/>
        <v>58</v>
      </c>
      <c r="M419" s="1">
        <v>15</v>
      </c>
      <c r="P419" s="1">
        <v>0</v>
      </c>
      <c r="Q419" s="1">
        <v>1</v>
      </c>
      <c r="R419" s="1">
        <v>0</v>
      </c>
      <c r="S419" s="1">
        <v>50</v>
      </c>
    </row>
    <row r="420" spans="1:19" x14ac:dyDescent="0.25">
      <c r="A420" s="12">
        <v>37616</v>
      </c>
      <c r="B420" s="14" t="s">
        <v>437</v>
      </c>
      <c r="C420" s="14"/>
      <c r="D420" s="14"/>
      <c r="E420" s="1">
        <v>39</v>
      </c>
      <c r="F420" s="1">
        <f t="shared" si="3"/>
        <v>30.25</v>
      </c>
      <c r="G420" s="1">
        <v>44</v>
      </c>
      <c r="H420" s="1">
        <f t="shared" si="3"/>
        <v>43.25</v>
      </c>
      <c r="I420" s="1">
        <v>66</v>
      </c>
      <c r="J420" s="1">
        <f t="shared" si="3"/>
        <v>54.25</v>
      </c>
      <c r="M420" s="1">
        <v>11</v>
      </c>
      <c r="P420" s="1">
        <v>0</v>
      </c>
      <c r="Q420" s="1">
        <v>0</v>
      </c>
      <c r="R420" s="1">
        <v>0</v>
      </c>
      <c r="S420" s="1">
        <v>51</v>
      </c>
    </row>
    <row r="421" spans="1:19" x14ac:dyDescent="0.25">
      <c r="A421" s="12">
        <v>37623</v>
      </c>
      <c r="B421" s="14" t="s">
        <v>438</v>
      </c>
      <c r="C421" s="14"/>
      <c r="D421" s="14"/>
      <c r="E421" s="1">
        <v>40</v>
      </c>
      <c r="F421" s="1">
        <f t="shared" si="3"/>
        <v>38.5</v>
      </c>
      <c r="G421" s="1">
        <v>46</v>
      </c>
      <c r="H421" s="1">
        <f t="shared" si="3"/>
        <v>42.25</v>
      </c>
      <c r="I421" s="1">
        <v>68</v>
      </c>
      <c r="J421" s="1">
        <f t="shared" si="3"/>
        <v>67</v>
      </c>
      <c r="M421" s="1">
        <v>7</v>
      </c>
      <c r="P421" s="1">
        <v>1</v>
      </c>
      <c r="Q421" s="1">
        <v>0</v>
      </c>
      <c r="R421" s="1">
        <v>1</v>
      </c>
      <c r="S421" s="1">
        <v>52</v>
      </c>
    </row>
    <row r="422" spans="1:19" x14ac:dyDescent="0.25">
      <c r="A422" s="12">
        <v>37630</v>
      </c>
      <c r="B422" s="14" t="s">
        <v>439</v>
      </c>
      <c r="C422" s="14"/>
      <c r="D422" s="14"/>
      <c r="E422" s="1">
        <v>35</v>
      </c>
      <c r="F422" s="1">
        <f t="shared" si="3"/>
        <v>42.75</v>
      </c>
      <c r="G422" s="1">
        <v>50</v>
      </c>
      <c r="H422" s="1">
        <f t="shared" si="3"/>
        <v>53.5</v>
      </c>
      <c r="I422" s="1">
        <v>80</v>
      </c>
      <c r="J422" s="1">
        <f t="shared" si="3"/>
        <v>65.25</v>
      </c>
      <c r="M422" s="1">
        <v>3</v>
      </c>
      <c r="P422" s="1">
        <v>1</v>
      </c>
      <c r="Q422" s="1">
        <v>1</v>
      </c>
      <c r="R422" s="1">
        <v>0</v>
      </c>
      <c r="S422" s="1">
        <v>1</v>
      </c>
    </row>
    <row r="423" spans="1:19" x14ac:dyDescent="0.25">
      <c r="A423" s="12">
        <v>37637</v>
      </c>
      <c r="B423" s="14" t="s">
        <v>440</v>
      </c>
      <c r="C423" s="14"/>
      <c r="D423" s="14"/>
      <c r="E423" s="1">
        <v>43</v>
      </c>
      <c r="F423" s="1">
        <f t="shared" si="3"/>
        <v>37</v>
      </c>
      <c r="G423" s="1">
        <v>53</v>
      </c>
      <c r="H423" s="1">
        <f t="shared" si="3"/>
        <v>48.25</v>
      </c>
      <c r="I423" s="1">
        <v>63</v>
      </c>
      <c r="J423" s="1">
        <f t="shared" si="3"/>
        <v>65</v>
      </c>
      <c r="M423" s="1">
        <v>5</v>
      </c>
      <c r="P423" s="1">
        <v>2</v>
      </c>
      <c r="Q423" s="1">
        <v>2</v>
      </c>
      <c r="R423" s="1">
        <v>0</v>
      </c>
      <c r="S423" s="1">
        <v>2</v>
      </c>
    </row>
    <row r="424" spans="1:19" x14ac:dyDescent="0.25">
      <c r="A424" s="12">
        <v>37644</v>
      </c>
      <c r="B424" s="14" t="s">
        <v>441</v>
      </c>
      <c r="C424" s="14"/>
      <c r="D424" s="14"/>
      <c r="E424" s="1">
        <v>43</v>
      </c>
      <c r="F424" s="1">
        <f t="shared" si="3"/>
        <v>36.75</v>
      </c>
      <c r="G424" s="1">
        <v>57</v>
      </c>
      <c r="H424" s="1">
        <f t="shared" si="3"/>
        <v>53.25</v>
      </c>
      <c r="I424" s="1">
        <v>61</v>
      </c>
      <c r="J424" s="1">
        <f t="shared" si="3"/>
        <v>74.5</v>
      </c>
      <c r="M424" s="1">
        <v>7</v>
      </c>
      <c r="P424" s="1">
        <v>2</v>
      </c>
      <c r="Q424" s="1">
        <v>3</v>
      </c>
      <c r="R424" s="1">
        <v>1</v>
      </c>
      <c r="S424" s="1">
        <v>3</v>
      </c>
    </row>
    <row r="425" spans="1:19" x14ac:dyDescent="0.25">
      <c r="A425" s="12">
        <v>37651</v>
      </c>
      <c r="B425" s="14" t="s">
        <v>442</v>
      </c>
      <c r="C425" s="14"/>
      <c r="D425" s="14"/>
      <c r="E425" s="1">
        <v>38</v>
      </c>
      <c r="F425" s="1">
        <f t="shared" si="3"/>
        <v>43</v>
      </c>
      <c r="G425" s="1">
        <v>69</v>
      </c>
      <c r="H425" s="1">
        <f t="shared" si="3"/>
        <v>51</v>
      </c>
      <c r="I425" s="1">
        <v>64</v>
      </c>
      <c r="J425" s="1">
        <f t="shared" si="3"/>
        <v>72.25</v>
      </c>
      <c r="M425" s="1">
        <v>5</v>
      </c>
      <c r="P425" s="1">
        <v>4</v>
      </c>
      <c r="Q425" s="1">
        <v>2</v>
      </c>
      <c r="R425" s="1">
        <v>0</v>
      </c>
      <c r="S425" s="1">
        <v>4</v>
      </c>
    </row>
    <row r="426" spans="1:19" x14ac:dyDescent="0.25">
      <c r="A426" s="12">
        <v>37658</v>
      </c>
      <c r="B426" s="14" t="s">
        <v>443</v>
      </c>
      <c r="C426" s="14"/>
      <c r="D426" s="14"/>
      <c r="E426" s="1">
        <v>47</v>
      </c>
      <c r="F426" s="1">
        <f t="shared" si="3"/>
        <v>46.5</v>
      </c>
      <c r="G426" s="1">
        <v>55</v>
      </c>
      <c r="H426" s="1">
        <f t="shared" si="3"/>
        <v>56</v>
      </c>
      <c r="I426" s="1">
        <v>58</v>
      </c>
      <c r="J426" s="1">
        <f t="shared" si="3"/>
        <v>68.25</v>
      </c>
      <c r="M426" s="1">
        <v>9</v>
      </c>
      <c r="P426" s="1">
        <v>2</v>
      </c>
      <c r="Q426" s="1">
        <v>5</v>
      </c>
      <c r="R426" s="1">
        <v>1</v>
      </c>
      <c r="S426" s="1">
        <v>5</v>
      </c>
    </row>
    <row r="427" spans="1:19" x14ac:dyDescent="0.25">
      <c r="A427" s="12">
        <v>37665</v>
      </c>
      <c r="B427" s="14" t="s">
        <v>444</v>
      </c>
      <c r="C427" s="14"/>
      <c r="D427" s="14"/>
      <c r="E427" s="1">
        <v>45</v>
      </c>
      <c r="F427" s="1">
        <f t="shared" si="3"/>
        <v>47.75</v>
      </c>
      <c r="G427" s="1">
        <v>55</v>
      </c>
      <c r="H427" s="1">
        <f t="shared" si="3"/>
        <v>53.25</v>
      </c>
      <c r="I427" s="1">
        <v>50</v>
      </c>
      <c r="J427" s="1">
        <f t="shared" si="3"/>
        <v>70.75</v>
      </c>
      <c r="M427" s="1">
        <v>8</v>
      </c>
      <c r="P427" s="1">
        <v>1</v>
      </c>
      <c r="Q427" s="1">
        <v>3</v>
      </c>
      <c r="R427" s="1">
        <v>1</v>
      </c>
      <c r="S427" s="1">
        <v>6</v>
      </c>
    </row>
    <row r="428" spans="1:19" x14ac:dyDescent="0.25">
      <c r="A428" s="12">
        <v>37672</v>
      </c>
      <c r="B428" s="14" t="s">
        <v>445</v>
      </c>
      <c r="C428" s="14"/>
      <c r="D428" s="14"/>
      <c r="E428" s="1">
        <v>46</v>
      </c>
      <c r="F428" s="1">
        <f t="shared" si="3"/>
        <v>47.75</v>
      </c>
      <c r="G428" s="1">
        <v>49</v>
      </c>
      <c r="H428" s="1">
        <f t="shared" si="3"/>
        <v>58.5</v>
      </c>
      <c r="I428" s="1">
        <v>53</v>
      </c>
      <c r="J428" s="1">
        <f t="shared" si="3"/>
        <v>69.75</v>
      </c>
      <c r="M428" s="1">
        <v>11</v>
      </c>
      <c r="P428" s="1">
        <v>5</v>
      </c>
      <c r="Q428" s="1">
        <v>1</v>
      </c>
      <c r="R428" s="1">
        <v>0</v>
      </c>
      <c r="S428" s="1">
        <v>7</v>
      </c>
    </row>
    <row r="429" spans="1:19" x14ac:dyDescent="0.25">
      <c r="A429" s="12">
        <v>37679</v>
      </c>
      <c r="B429" s="14" t="s">
        <v>446</v>
      </c>
      <c r="C429" s="14"/>
      <c r="D429" s="14"/>
      <c r="E429" s="1">
        <v>33</v>
      </c>
      <c r="F429" s="1">
        <f t="shared" si="3"/>
        <v>48</v>
      </c>
      <c r="G429" s="1">
        <v>45</v>
      </c>
      <c r="H429" s="1">
        <f t="shared" si="3"/>
        <v>54</v>
      </c>
      <c r="I429" s="1">
        <v>59</v>
      </c>
      <c r="J429" s="1">
        <f t="shared" si="3"/>
        <v>68</v>
      </c>
      <c r="M429" s="1">
        <v>9</v>
      </c>
      <c r="P429" s="1">
        <v>1</v>
      </c>
      <c r="Q429" s="1">
        <v>6</v>
      </c>
      <c r="R429" s="1">
        <v>1</v>
      </c>
      <c r="S429" s="1">
        <v>8</v>
      </c>
    </row>
    <row r="430" spans="1:19" x14ac:dyDescent="0.25">
      <c r="A430" s="12">
        <v>37686</v>
      </c>
      <c r="B430" s="14" t="s">
        <v>447</v>
      </c>
      <c r="C430" s="14"/>
      <c r="D430" s="14"/>
      <c r="E430" s="1">
        <v>47</v>
      </c>
      <c r="F430" s="1">
        <f t="shared" si="3"/>
        <v>43.5</v>
      </c>
      <c r="G430" s="1">
        <v>48</v>
      </c>
      <c r="H430" s="1">
        <f t="shared" si="3"/>
        <v>53</v>
      </c>
      <c r="I430" s="1">
        <v>48</v>
      </c>
      <c r="J430" s="1">
        <f t="shared" si="3"/>
        <v>66.25</v>
      </c>
      <c r="M430" s="1">
        <v>8</v>
      </c>
      <c r="P430" s="1">
        <v>3</v>
      </c>
      <c r="Q430" s="1">
        <v>1</v>
      </c>
      <c r="R430" s="1">
        <v>0</v>
      </c>
      <c r="S430" s="1">
        <v>9</v>
      </c>
    </row>
    <row r="431" spans="1:19" x14ac:dyDescent="0.25">
      <c r="A431" s="12">
        <v>37693</v>
      </c>
      <c r="B431" s="14" t="s">
        <v>448</v>
      </c>
      <c r="C431" s="14"/>
      <c r="D431" s="14"/>
      <c r="E431" s="1">
        <v>31</v>
      </c>
      <c r="F431" s="1">
        <f t="shared" si="3"/>
        <v>39.5</v>
      </c>
      <c r="G431" s="1">
        <v>46</v>
      </c>
      <c r="H431" s="1">
        <f t="shared" si="3"/>
        <v>51.25</v>
      </c>
      <c r="I431" s="1">
        <v>53</v>
      </c>
      <c r="J431" s="1">
        <f t="shared" si="3"/>
        <v>64</v>
      </c>
      <c r="M431" s="1">
        <v>11</v>
      </c>
      <c r="P431" s="1">
        <v>2</v>
      </c>
      <c r="Q431" s="1">
        <v>1</v>
      </c>
      <c r="R431" s="1">
        <v>1</v>
      </c>
      <c r="S431" s="1">
        <v>10</v>
      </c>
    </row>
    <row r="432" spans="1:19" x14ac:dyDescent="0.25">
      <c r="A432" s="12">
        <v>37700</v>
      </c>
      <c r="B432" s="14" t="s">
        <v>449</v>
      </c>
      <c r="C432" s="14"/>
      <c r="D432" s="14"/>
      <c r="E432" s="1">
        <v>28</v>
      </c>
      <c r="F432" s="1">
        <f t="shared" si="3"/>
        <v>41.25</v>
      </c>
      <c r="G432" s="1">
        <v>40</v>
      </c>
      <c r="H432" s="1">
        <f t="shared" si="3"/>
        <v>52</v>
      </c>
      <c r="I432" s="1">
        <v>58</v>
      </c>
      <c r="J432" s="1">
        <f t="shared" si="3"/>
        <v>61.75</v>
      </c>
      <c r="M432" s="1">
        <v>12</v>
      </c>
      <c r="P432" s="1">
        <v>6</v>
      </c>
      <c r="Q432" s="1">
        <v>2</v>
      </c>
      <c r="R432" s="1">
        <v>1</v>
      </c>
      <c r="S432" s="1">
        <v>11</v>
      </c>
    </row>
    <row r="433" spans="1:19" x14ac:dyDescent="0.25">
      <c r="A433" s="12">
        <v>37707</v>
      </c>
      <c r="B433" s="14" t="s">
        <v>450</v>
      </c>
      <c r="C433" s="14"/>
      <c r="D433" s="14"/>
      <c r="E433" s="1">
        <v>27</v>
      </c>
      <c r="F433" s="1">
        <f t="shared" si="3"/>
        <v>36.5</v>
      </c>
      <c r="G433" s="1">
        <v>41</v>
      </c>
      <c r="H433" s="1">
        <f t="shared" si="3"/>
        <v>50.25</v>
      </c>
      <c r="I433" s="1">
        <v>58</v>
      </c>
      <c r="J433" s="1">
        <f t="shared" si="3"/>
        <v>62.75</v>
      </c>
      <c r="M433" s="1">
        <v>12</v>
      </c>
      <c r="P433" s="1">
        <v>4</v>
      </c>
      <c r="Q433" s="1">
        <v>6</v>
      </c>
      <c r="R433" s="1">
        <v>0</v>
      </c>
      <c r="S433" s="1">
        <v>12</v>
      </c>
    </row>
    <row r="434" spans="1:19" x14ac:dyDescent="0.25">
      <c r="A434" s="12">
        <v>37714</v>
      </c>
      <c r="B434" s="14" t="s">
        <v>451</v>
      </c>
      <c r="C434" s="14"/>
      <c r="D434" s="14"/>
      <c r="E434" s="1">
        <v>19</v>
      </c>
      <c r="F434" s="1">
        <f t="shared" si="3"/>
        <v>28.75</v>
      </c>
      <c r="G434" s="1">
        <v>40</v>
      </c>
      <c r="H434" s="1">
        <f t="shared" si="3"/>
        <v>46.75</v>
      </c>
      <c r="I434" s="1">
        <v>50</v>
      </c>
      <c r="J434" s="1">
        <f t="shared" si="3"/>
        <v>56.75</v>
      </c>
      <c r="M434" s="1">
        <v>9</v>
      </c>
      <c r="N434" s="1" t="s">
        <v>6</v>
      </c>
      <c r="P434" s="1">
        <v>4</v>
      </c>
      <c r="Q434" s="1">
        <v>4</v>
      </c>
      <c r="R434" s="1">
        <v>0</v>
      </c>
      <c r="S434" s="1">
        <v>13</v>
      </c>
    </row>
    <row r="435" spans="1:19" x14ac:dyDescent="0.25">
      <c r="A435" s="12">
        <v>37721</v>
      </c>
      <c r="B435" s="14" t="s">
        <v>452</v>
      </c>
      <c r="C435" s="14"/>
      <c r="D435" s="14"/>
      <c r="E435" s="1">
        <v>24</v>
      </c>
      <c r="F435" s="1">
        <f t="shared" si="3"/>
        <v>29.5</v>
      </c>
      <c r="G435" s="1">
        <v>44</v>
      </c>
      <c r="H435" s="1">
        <f t="shared" si="3"/>
        <v>51.25</v>
      </c>
      <c r="I435" s="1">
        <v>49</v>
      </c>
      <c r="J435" s="1">
        <f t="shared" si="3"/>
        <v>56.5</v>
      </c>
      <c r="M435" s="1">
        <v>4</v>
      </c>
      <c r="P435" s="1">
        <v>4</v>
      </c>
      <c r="Q435" s="1">
        <v>3</v>
      </c>
      <c r="R435" s="1">
        <v>1</v>
      </c>
      <c r="S435" s="1">
        <v>14</v>
      </c>
    </row>
    <row r="436" spans="1:19" x14ac:dyDescent="0.25">
      <c r="A436" s="12">
        <v>37728</v>
      </c>
      <c r="B436" s="14" t="s">
        <v>453</v>
      </c>
      <c r="C436" s="14"/>
      <c r="D436" s="14"/>
      <c r="E436" s="1">
        <v>11</v>
      </c>
      <c r="F436" s="1">
        <f t="shared" ref="F436:J472" si="4">AVERAGE(E384,E332,E280,E228)</f>
        <v>25.75</v>
      </c>
      <c r="G436" s="1">
        <v>34</v>
      </c>
      <c r="H436" s="1">
        <f t="shared" si="4"/>
        <v>46</v>
      </c>
      <c r="I436" s="1">
        <v>43</v>
      </c>
      <c r="J436" s="1">
        <f t="shared" si="4"/>
        <v>59.75</v>
      </c>
      <c r="M436" s="1">
        <v>9</v>
      </c>
      <c r="P436" s="1">
        <v>5</v>
      </c>
      <c r="Q436" s="1">
        <v>5</v>
      </c>
      <c r="R436" s="1">
        <v>0</v>
      </c>
      <c r="S436" s="1">
        <v>15</v>
      </c>
    </row>
    <row r="437" spans="1:19" x14ac:dyDescent="0.25">
      <c r="A437" s="12">
        <v>37735</v>
      </c>
      <c r="B437" s="14" t="s">
        <v>454</v>
      </c>
      <c r="C437" s="14"/>
      <c r="D437" s="14"/>
      <c r="E437" s="1">
        <v>18</v>
      </c>
      <c r="F437" s="1">
        <f t="shared" si="4"/>
        <v>21.25</v>
      </c>
      <c r="G437" s="1">
        <v>35</v>
      </c>
      <c r="H437" s="1">
        <f t="shared" si="4"/>
        <v>44.5</v>
      </c>
      <c r="I437" s="1">
        <v>50</v>
      </c>
      <c r="J437" s="1">
        <f t="shared" si="4"/>
        <v>56</v>
      </c>
      <c r="M437" s="1">
        <v>13</v>
      </c>
      <c r="P437" s="1">
        <v>9</v>
      </c>
      <c r="Q437" s="1">
        <v>4</v>
      </c>
      <c r="R437" s="1">
        <v>0</v>
      </c>
      <c r="S437" s="1">
        <v>16</v>
      </c>
    </row>
    <row r="438" spans="1:19" x14ac:dyDescent="0.25">
      <c r="A438" s="12">
        <v>37742</v>
      </c>
      <c r="B438" s="14" t="s">
        <v>455</v>
      </c>
      <c r="C438" s="14"/>
      <c r="D438" s="14"/>
      <c r="E438" s="1">
        <v>13</v>
      </c>
      <c r="F438" s="1">
        <f t="shared" si="4"/>
        <v>25.5</v>
      </c>
      <c r="G438" s="1">
        <v>30</v>
      </c>
      <c r="H438" s="1">
        <f t="shared" si="4"/>
        <v>46</v>
      </c>
      <c r="I438" s="1">
        <v>39</v>
      </c>
      <c r="J438" s="1">
        <f t="shared" si="4"/>
        <v>48.75</v>
      </c>
      <c r="M438" s="1">
        <v>9</v>
      </c>
      <c r="P438" s="1">
        <v>8</v>
      </c>
      <c r="Q438" s="1">
        <v>9</v>
      </c>
      <c r="R438" s="1">
        <v>2</v>
      </c>
      <c r="S438" s="1">
        <v>17</v>
      </c>
    </row>
    <row r="439" spans="1:19" x14ac:dyDescent="0.25">
      <c r="A439" s="12">
        <v>37749</v>
      </c>
      <c r="B439" s="14" t="s">
        <v>456</v>
      </c>
      <c r="C439" s="14"/>
      <c r="D439" s="14"/>
      <c r="E439" s="1">
        <v>15</v>
      </c>
      <c r="F439" s="1">
        <f t="shared" si="4"/>
        <v>23</v>
      </c>
      <c r="G439" s="1">
        <v>36</v>
      </c>
      <c r="H439" s="1">
        <f t="shared" si="4"/>
        <v>41.5</v>
      </c>
      <c r="I439" s="1">
        <v>56</v>
      </c>
      <c r="J439" s="1">
        <f t="shared" si="4"/>
        <v>57.75</v>
      </c>
      <c r="M439" s="1">
        <v>6</v>
      </c>
      <c r="P439" s="1">
        <v>6</v>
      </c>
      <c r="Q439" s="1">
        <v>7</v>
      </c>
      <c r="R439" s="1">
        <v>0</v>
      </c>
      <c r="S439" s="1">
        <v>18</v>
      </c>
    </row>
    <row r="440" spans="1:19" x14ac:dyDescent="0.25">
      <c r="A440" s="12">
        <v>37756</v>
      </c>
      <c r="B440" s="14" t="s">
        <v>457</v>
      </c>
      <c r="C440" s="14"/>
      <c r="D440" s="14"/>
      <c r="E440" s="1">
        <v>23</v>
      </c>
      <c r="F440" s="1">
        <f t="shared" si="4"/>
        <v>24</v>
      </c>
      <c r="G440" s="1">
        <v>36</v>
      </c>
      <c r="H440" s="1">
        <f t="shared" si="4"/>
        <v>48.5</v>
      </c>
      <c r="I440" s="1">
        <v>43</v>
      </c>
      <c r="J440" s="1">
        <f t="shared" si="4"/>
        <v>62.25</v>
      </c>
      <c r="M440" s="1">
        <v>11</v>
      </c>
      <c r="P440" s="1">
        <v>7</v>
      </c>
      <c r="Q440" s="1">
        <v>5</v>
      </c>
      <c r="R440" s="1">
        <v>0</v>
      </c>
      <c r="S440" s="1">
        <v>19</v>
      </c>
    </row>
    <row r="441" spans="1:19" x14ac:dyDescent="0.25">
      <c r="A441" s="12">
        <v>37763</v>
      </c>
      <c r="B441" s="14" t="s">
        <v>458</v>
      </c>
      <c r="C441" s="14"/>
      <c r="D441" s="14"/>
      <c r="E441" s="1">
        <v>25</v>
      </c>
      <c r="F441" s="1">
        <f t="shared" si="4"/>
        <v>25</v>
      </c>
      <c r="G441" s="1">
        <v>34</v>
      </c>
      <c r="H441" s="1">
        <f t="shared" si="4"/>
        <v>45.75</v>
      </c>
      <c r="I441" s="1">
        <v>44</v>
      </c>
      <c r="J441" s="1">
        <f t="shared" si="4"/>
        <v>56.25</v>
      </c>
      <c r="M441" s="1">
        <v>6</v>
      </c>
      <c r="P441" s="1">
        <v>6</v>
      </c>
      <c r="Q441" s="1">
        <v>8</v>
      </c>
      <c r="R441" s="1">
        <v>0</v>
      </c>
      <c r="S441" s="1">
        <v>20</v>
      </c>
    </row>
    <row r="442" spans="1:19" x14ac:dyDescent="0.25">
      <c r="A442" s="12">
        <v>37770</v>
      </c>
      <c r="B442" s="14" t="s">
        <v>459</v>
      </c>
      <c r="C442" s="14"/>
      <c r="D442" s="14"/>
      <c r="E442" s="1">
        <v>20</v>
      </c>
      <c r="F442" s="1">
        <f t="shared" si="4"/>
        <v>28.25</v>
      </c>
      <c r="G442" s="1">
        <v>31</v>
      </c>
      <c r="H442" s="1">
        <f t="shared" si="4"/>
        <v>40.75</v>
      </c>
      <c r="I442" s="1">
        <v>54</v>
      </c>
      <c r="J442" s="1">
        <f t="shared" si="4"/>
        <v>54.25</v>
      </c>
      <c r="M442" s="1">
        <v>9</v>
      </c>
      <c r="P442" s="1">
        <v>3</v>
      </c>
      <c r="Q442" s="1">
        <v>7</v>
      </c>
      <c r="R442" s="1">
        <v>0</v>
      </c>
      <c r="S442" s="1">
        <v>21</v>
      </c>
    </row>
    <row r="443" spans="1:19" x14ac:dyDescent="0.25">
      <c r="A443" s="12">
        <v>37777</v>
      </c>
      <c r="B443" s="14" t="s">
        <v>460</v>
      </c>
      <c r="C443" s="14"/>
      <c r="D443" s="14"/>
      <c r="E443" s="1">
        <v>24</v>
      </c>
      <c r="F443" s="1">
        <f t="shared" si="4"/>
        <v>30</v>
      </c>
      <c r="G443" s="1">
        <v>36</v>
      </c>
      <c r="H443" s="1">
        <f t="shared" si="4"/>
        <v>43.25</v>
      </c>
      <c r="I443" s="1">
        <v>44</v>
      </c>
      <c r="J443" s="1">
        <f t="shared" si="4"/>
        <v>58</v>
      </c>
      <c r="M443" s="1">
        <v>7</v>
      </c>
      <c r="P443" s="1">
        <v>3</v>
      </c>
      <c r="Q443" s="1">
        <v>4</v>
      </c>
      <c r="R443" s="1">
        <v>0</v>
      </c>
      <c r="S443" s="1">
        <v>22</v>
      </c>
    </row>
    <row r="444" spans="1:19" x14ac:dyDescent="0.25">
      <c r="A444" s="12">
        <v>37784</v>
      </c>
      <c r="B444" s="14" t="s">
        <v>461</v>
      </c>
      <c r="C444" s="14"/>
      <c r="D444" s="14"/>
      <c r="E444" s="1">
        <v>24</v>
      </c>
      <c r="F444" s="1">
        <f t="shared" si="4"/>
        <v>33.5</v>
      </c>
      <c r="G444" s="1">
        <v>42</v>
      </c>
      <c r="H444" s="1">
        <f t="shared" si="4"/>
        <v>41.25</v>
      </c>
      <c r="I444" s="1">
        <v>47</v>
      </c>
      <c r="J444" s="1">
        <f t="shared" si="4"/>
        <v>66.25</v>
      </c>
      <c r="M444" s="1">
        <v>10</v>
      </c>
      <c r="P444" s="1">
        <v>6</v>
      </c>
      <c r="Q444" s="1">
        <v>3</v>
      </c>
      <c r="R444" s="1">
        <v>2</v>
      </c>
      <c r="S444" s="1">
        <v>23</v>
      </c>
    </row>
    <row r="445" spans="1:19" x14ac:dyDescent="0.25">
      <c r="A445" s="12">
        <v>37791</v>
      </c>
      <c r="B445" s="14" t="s">
        <v>462</v>
      </c>
      <c r="C445" s="14"/>
      <c r="D445" s="14"/>
      <c r="E445" s="1">
        <v>24</v>
      </c>
      <c r="F445" s="1">
        <f t="shared" si="4"/>
        <v>29.75</v>
      </c>
      <c r="G445" s="1">
        <v>38</v>
      </c>
      <c r="H445" s="1">
        <f t="shared" si="4"/>
        <v>49.75</v>
      </c>
      <c r="I445" s="1">
        <v>58</v>
      </c>
      <c r="J445" s="1">
        <f t="shared" si="4"/>
        <v>63.5</v>
      </c>
      <c r="M445" s="1">
        <v>3</v>
      </c>
      <c r="P445" s="1">
        <v>8</v>
      </c>
      <c r="Q445" s="1">
        <v>7</v>
      </c>
      <c r="R445" s="1">
        <v>2</v>
      </c>
      <c r="S445" s="1">
        <v>24</v>
      </c>
    </row>
    <row r="446" spans="1:19" x14ac:dyDescent="0.25">
      <c r="A446" s="12">
        <v>37798</v>
      </c>
      <c r="B446" s="14" t="s">
        <v>463</v>
      </c>
      <c r="C446" s="14"/>
      <c r="D446" s="14"/>
      <c r="E446" s="1">
        <v>28</v>
      </c>
      <c r="F446" s="1">
        <f t="shared" si="4"/>
        <v>27.25</v>
      </c>
      <c r="G446" s="1">
        <v>40</v>
      </c>
      <c r="H446" s="1">
        <f t="shared" si="4"/>
        <v>48</v>
      </c>
      <c r="I446" s="1">
        <v>65</v>
      </c>
      <c r="J446" s="1">
        <f t="shared" si="4"/>
        <v>60.75</v>
      </c>
      <c r="M446" s="1">
        <v>3</v>
      </c>
      <c r="P446" s="1">
        <v>8</v>
      </c>
      <c r="Q446" s="1">
        <v>6</v>
      </c>
      <c r="R446" s="1">
        <v>2</v>
      </c>
      <c r="S446" s="1">
        <v>25</v>
      </c>
    </row>
    <row r="447" spans="1:19" x14ac:dyDescent="0.25">
      <c r="A447" s="12">
        <v>37805</v>
      </c>
      <c r="B447" s="14" t="s">
        <v>464</v>
      </c>
      <c r="C447" s="14"/>
      <c r="D447" s="14"/>
      <c r="E447" s="1">
        <v>29</v>
      </c>
      <c r="F447" s="1">
        <f t="shared" si="4"/>
        <v>36</v>
      </c>
      <c r="G447" s="1">
        <v>40</v>
      </c>
      <c r="H447" s="1">
        <f t="shared" si="4"/>
        <v>45.25</v>
      </c>
      <c r="I447" s="1">
        <v>61</v>
      </c>
      <c r="J447" s="1">
        <f t="shared" si="4"/>
        <v>63.25</v>
      </c>
      <c r="M447" s="1">
        <v>5</v>
      </c>
      <c r="P447" s="1">
        <v>7</v>
      </c>
      <c r="Q447" s="1">
        <v>4</v>
      </c>
      <c r="R447" s="1">
        <v>2</v>
      </c>
      <c r="S447" s="1">
        <v>26</v>
      </c>
    </row>
    <row r="448" spans="1:19" x14ac:dyDescent="0.25">
      <c r="A448" s="12">
        <v>37812</v>
      </c>
      <c r="B448" s="14" t="s">
        <v>465</v>
      </c>
      <c r="C448" s="14"/>
      <c r="D448" s="14"/>
      <c r="E448" s="1">
        <v>39</v>
      </c>
      <c r="F448" s="1">
        <f t="shared" si="4"/>
        <v>31</v>
      </c>
      <c r="G448" s="1">
        <v>56</v>
      </c>
      <c r="H448" s="1">
        <f t="shared" si="4"/>
        <v>49.75</v>
      </c>
      <c r="I448" s="1">
        <v>55</v>
      </c>
      <c r="J448" s="1">
        <f t="shared" si="4"/>
        <v>62.5</v>
      </c>
      <c r="M448" s="1">
        <v>9</v>
      </c>
      <c r="P448" s="1">
        <v>7</v>
      </c>
      <c r="Q448" s="1">
        <v>8</v>
      </c>
      <c r="R448" s="1">
        <v>1</v>
      </c>
      <c r="S448" s="1">
        <v>27</v>
      </c>
    </row>
    <row r="449" spans="1:19" x14ac:dyDescent="0.25">
      <c r="A449" s="12">
        <v>37819</v>
      </c>
      <c r="B449" s="14" t="s">
        <v>466</v>
      </c>
      <c r="C449" s="14"/>
      <c r="D449" s="14"/>
      <c r="E449" s="1">
        <v>26</v>
      </c>
      <c r="F449" s="1">
        <f t="shared" si="4"/>
        <v>30.5</v>
      </c>
      <c r="G449" s="1">
        <v>51</v>
      </c>
      <c r="H449" s="1">
        <f t="shared" si="4"/>
        <v>49.25</v>
      </c>
      <c r="I449" s="1">
        <v>54</v>
      </c>
      <c r="J449" s="1">
        <f t="shared" si="4"/>
        <v>60.75</v>
      </c>
      <c r="M449" s="1">
        <v>7</v>
      </c>
      <c r="P449" s="1">
        <v>10</v>
      </c>
      <c r="Q449" s="1">
        <v>5</v>
      </c>
      <c r="R449" s="1">
        <v>1</v>
      </c>
      <c r="S449" s="1">
        <v>28</v>
      </c>
    </row>
    <row r="450" spans="1:19" x14ac:dyDescent="0.25">
      <c r="A450" s="12">
        <v>37826</v>
      </c>
      <c r="B450" s="14" t="s">
        <v>467</v>
      </c>
      <c r="C450" s="14"/>
      <c r="D450" s="14"/>
      <c r="E450" s="1">
        <v>29</v>
      </c>
      <c r="F450" s="1">
        <f t="shared" si="4"/>
        <v>33.5</v>
      </c>
      <c r="G450" s="1">
        <v>47</v>
      </c>
      <c r="H450" s="1">
        <f t="shared" si="4"/>
        <v>52.5</v>
      </c>
      <c r="I450" s="1">
        <v>64</v>
      </c>
      <c r="J450" s="1">
        <f t="shared" si="4"/>
        <v>66.75</v>
      </c>
      <c r="M450" s="1">
        <v>11</v>
      </c>
      <c r="P450" s="1">
        <v>7</v>
      </c>
      <c r="Q450" s="1">
        <v>8</v>
      </c>
      <c r="R450" s="1">
        <v>4</v>
      </c>
      <c r="S450" s="1">
        <v>29</v>
      </c>
    </row>
    <row r="451" spans="1:19" x14ac:dyDescent="0.25">
      <c r="A451" s="12">
        <v>37833</v>
      </c>
      <c r="B451" s="14" t="s">
        <v>468</v>
      </c>
      <c r="C451" s="14"/>
      <c r="D451" s="14"/>
      <c r="E451" s="1">
        <v>23</v>
      </c>
      <c r="F451" s="1">
        <f t="shared" si="4"/>
        <v>28.25</v>
      </c>
      <c r="G451" s="1">
        <v>48</v>
      </c>
      <c r="H451" s="1">
        <f t="shared" si="4"/>
        <v>52</v>
      </c>
      <c r="I451" s="1">
        <v>67</v>
      </c>
      <c r="J451" s="1">
        <f t="shared" si="4"/>
        <v>69</v>
      </c>
      <c r="M451" s="1">
        <v>4</v>
      </c>
      <c r="P451" s="1">
        <v>8</v>
      </c>
      <c r="Q451" s="1">
        <v>7</v>
      </c>
      <c r="R451" s="1">
        <v>0</v>
      </c>
      <c r="S451" s="1">
        <v>30</v>
      </c>
    </row>
    <row r="452" spans="1:19" x14ac:dyDescent="0.25">
      <c r="A452" s="12">
        <v>37840</v>
      </c>
      <c r="B452" s="14" t="s">
        <v>469</v>
      </c>
      <c r="C452" s="14"/>
      <c r="D452" s="14"/>
      <c r="E452" s="1">
        <v>28</v>
      </c>
      <c r="F452" s="1">
        <f t="shared" si="4"/>
        <v>34.75</v>
      </c>
      <c r="G452" s="1">
        <v>47</v>
      </c>
      <c r="H452" s="1">
        <f t="shared" si="4"/>
        <v>50.5</v>
      </c>
      <c r="I452" s="1">
        <v>65</v>
      </c>
      <c r="J452" s="1">
        <f t="shared" si="4"/>
        <v>71.25</v>
      </c>
      <c r="M452" s="1">
        <v>10</v>
      </c>
      <c r="P452" s="1">
        <v>7</v>
      </c>
      <c r="Q452" s="1">
        <v>4</v>
      </c>
      <c r="R452" s="1">
        <v>2</v>
      </c>
      <c r="S452" s="1">
        <v>31</v>
      </c>
    </row>
    <row r="453" spans="1:19" x14ac:dyDescent="0.25">
      <c r="A453" s="12">
        <v>37847</v>
      </c>
      <c r="B453" s="14" t="s">
        <v>470</v>
      </c>
      <c r="C453" s="14"/>
      <c r="D453" s="14"/>
      <c r="E453" s="1">
        <v>35</v>
      </c>
      <c r="F453" s="1">
        <f t="shared" si="4"/>
        <v>30.25</v>
      </c>
      <c r="G453" s="1">
        <v>36</v>
      </c>
      <c r="H453" s="1">
        <f t="shared" si="4"/>
        <v>50.25</v>
      </c>
      <c r="I453" s="1">
        <v>69</v>
      </c>
      <c r="J453" s="1">
        <f t="shared" si="4"/>
        <v>58.5</v>
      </c>
      <c r="M453" s="1">
        <v>9</v>
      </c>
      <c r="P453" s="1">
        <v>12</v>
      </c>
      <c r="Q453" s="1">
        <v>4</v>
      </c>
      <c r="R453" s="1">
        <v>1</v>
      </c>
      <c r="S453" s="1">
        <v>32</v>
      </c>
    </row>
    <row r="454" spans="1:19" x14ac:dyDescent="0.25">
      <c r="A454" s="12">
        <v>37854</v>
      </c>
      <c r="B454" s="14" t="s">
        <v>471</v>
      </c>
      <c r="C454" s="14"/>
      <c r="D454" s="14"/>
      <c r="E454" s="1">
        <v>41</v>
      </c>
      <c r="F454" s="1">
        <f t="shared" si="4"/>
        <v>37.5</v>
      </c>
      <c r="G454" s="1">
        <v>57</v>
      </c>
      <c r="H454" s="1">
        <f t="shared" si="4"/>
        <v>54.5</v>
      </c>
      <c r="I454" s="1">
        <v>72</v>
      </c>
      <c r="J454" s="1">
        <f t="shared" si="4"/>
        <v>67.5</v>
      </c>
      <c r="M454" s="1">
        <v>9</v>
      </c>
      <c r="P454" s="1">
        <v>8</v>
      </c>
      <c r="Q454" s="1">
        <v>9</v>
      </c>
      <c r="R454" s="1">
        <v>4</v>
      </c>
      <c r="S454" s="1">
        <v>33</v>
      </c>
    </row>
    <row r="455" spans="1:19" x14ac:dyDescent="0.25">
      <c r="A455" s="12">
        <v>37861</v>
      </c>
      <c r="B455" s="14" t="s">
        <v>472</v>
      </c>
      <c r="C455" s="14"/>
      <c r="D455" s="14"/>
      <c r="E455" s="1">
        <v>30</v>
      </c>
      <c r="F455" s="1">
        <f t="shared" si="4"/>
        <v>34.75</v>
      </c>
      <c r="G455" s="1">
        <v>50</v>
      </c>
      <c r="H455" s="1">
        <f t="shared" si="4"/>
        <v>52.75</v>
      </c>
      <c r="I455" s="1">
        <v>64</v>
      </c>
      <c r="J455" s="1">
        <f t="shared" si="4"/>
        <v>62.5</v>
      </c>
      <c r="M455" s="1">
        <v>12</v>
      </c>
      <c r="P455" s="1">
        <v>10</v>
      </c>
      <c r="Q455" s="1">
        <v>3</v>
      </c>
      <c r="R455" s="1">
        <v>2</v>
      </c>
      <c r="S455" s="1">
        <v>34</v>
      </c>
    </row>
    <row r="456" spans="1:19" x14ac:dyDescent="0.25">
      <c r="A456" s="12">
        <v>37868</v>
      </c>
      <c r="B456" s="14" t="s">
        <v>473</v>
      </c>
      <c r="C456" s="14"/>
      <c r="D456" s="14"/>
      <c r="E456" s="1">
        <v>31</v>
      </c>
      <c r="F456" s="1">
        <f t="shared" si="4"/>
        <v>36.5</v>
      </c>
      <c r="G456" s="1">
        <v>45</v>
      </c>
      <c r="H456" s="1">
        <f t="shared" si="4"/>
        <v>49.75</v>
      </c>
      <c r="I456" s="1">
        <v>68</v>
      </c>
      <c r="J456" s="1">
        <f t="shared" si="4"/>
        <v>60</v>
      </c>
      <c r="M456" s="1">
        <v>12</v>
      </c>
      <c r="P456" s="1">
        <v>8</v>
      </c>
      <c r="Q456" s="1">
        <v>8</v>
      </c>
      <c r="R456" s="1">
        <v>2</v>
      </c>
      <c r="S456" s="1">
        <v>35</v>
      </c>
    </row>
    <row r="457" spans="1:19" x14ac:dyDescent="0.25">
      <c r="A457" s="12">
        <v>37875</v>
      </c>
      <c r="B457" s="14" t="s">
        <v>474</v>
      </c>
      <c r="C457" s="14"/>
      <c r="D457" s="14"/>
      <c r="E457" s="1">
        <v>37</v>
      </c>
      <c r="F457" s="1">
        <f t="shared" si="4"/>
        <v>34.25</v>
      </c>
      <c r="G457" s="1">
        <v>50</v>
      </c>
      <c r="H457" s="1">
        <f t="shared" si="4"/>
        <v>50.75</v>
      </c>
      <c r="I457" s="1">
        <v>58</v>
      </c>
      <c r="J457" s="1">
        <f t="shared" si="4"/>
        <v>59</v>
      </c>
      <c r="M457" s="1">
        <v>13</v>
      </c>
      <c r="P457" s="1">
        <v>6</v>
      </c>
      <c r="Q457" s="1">
        <v>9</v>
      </c>
      <c r="R457" s="1">
        <v>2</v>
      </c>
      <c r="S457" s="1">
        <v>36</v>
      </c>
    </row>
    <row r="458" spans="1:19" x14ac:dyDescent="0.25">
      <c r="A458" s="12">
        <v>37882</v>
      </c>
      <c r="B458" s="14" t="s">
        <v>475</v>
      </c>
      <c r="C458" s="14"/>
      <c r="D458" s="14"/>
      <c r="E458" s="1">
        <v>44</v>
      </c>
      <c r="F458" s="1">
        <f t="shared" si="4"/>
        <v>33.5</v>
      </c>
      <c r="G458" s="1">
        <v>54</v>
      </c>
      <c r="H458" s="1">
        <f t="shared" si="4"/>
        <v>51.5</v>
      </c>
      <c r="I458" s="1">
        <v>56</v>
      </c>
      <c r="J458" s="1">
        <f t="shared" si="4"/>
        <v>66.5</v>
      </c>
      <c r="M458" s="1">
        <v>12</v>
      </c>
      <c r="P458" s="1">
        <v>3</v>
      </c>
      <c r="Q458" s="1">
        <v>6</v>
      </c>
      <c r="R458" s="1">
        <v>2</v>
      </c>
      <c r="S458" s="1">
        <v>37</v>
      </c>
    </row>
    <row r="459" spans="1:19" x14ac:dyDescent="0.25">
      <c r="A459" s="12">
        <v>37889</v>
      </c>
      <c r="B459" s="14" t="s">
        <v>476</v>
      </c>
      <c r="C459" s="14"/>
      <c r="D459" s="14"/>
      <c r="E459" s="1">
        <v>31</v>
      </c>
      <c r="F459" s="1">
        <f t="shared" si="4"/>
        <v>31.75</v>
      </c>
      <c r="G459" s="1">
        <v>53</v>
      </c>
      <c r="H459" s="1">
        <f t="shared" si="4"/>
        <v>48.5</v>
      </c>
      <c r="I459" s="1">
        <v>65</v>
      </c>
      <c r="J459" s="1">
        <f t="shared" si="4"/>
        <v>66.5</v>
      </c>
      <c r="M459" s="1">
        <v>9</v>
      </c>
      <c r="P459" s="1">
        <v>6</v>
      </c>
      <c r="Q459" s="1">
        <v>7</v>
      </c>
      <c r="R459" s="1">
        <v>1</v>
      </c>
      <c r="S459" s="1">
        <v>38</v>
      </c>
    </row>
    <row r="460" spans="1:19" x14ac:dyDescent="0.25">
      <c r="A460" s="12">
        <v>37896</v>
      </c>
      <c r="B460" s="14" t="s">
        <v>477</v>
      </c>
      <c r="C460" s="14"/>
      <c r="D460" s="14"/>
      <c r="E460" s="1">
        <v>30</v>
      </c>
      <c r="F460" s="1">
        <f t="shared" si="4"/>
        <v>29.75</v>
      </c>
      <c r="G460" s="1">
        <v>53</v>
      </c>
      <c r="H460" s="1">
        <f t="shared" si="4"/>
        <v>49.5</v>
      </c>
      <c r="I460" s="1">
        <v>65</v>
      </c>
      <c r="J460" s="1">
        <f t="shared" si="4"/>
        <v>68.25</v>
      </c>
      <c r="M460" s="1">
        <v>7</v>
      </c>
      <c r="P460" s="1">
        <v>3</v>
      </c>
      <c r="Q460" s="1">
        <v>7</v>
      </c>
      <c r="R460" s="1">
        <v>3</v>
      </c>
      <c r="S460" s="1">
        <v>39</v>
      </c>
    </row>
    <row r="461" spans="1:19" x14ac:dyDescent="0.25">
      <c r="A461" s="12">
        <v>37903</v>
      </c>
      <c r="B461" s="14" t="s">
        <v>478</v>
      </c>
      <c r="C461" s="14"/>
      <c r="D461" s="14"/>
      <c r="E461" s="1">
        <v>34</v>
      </c>
      <c r="F461" s="1">
        <f t="shared" si="4"/>
        <v>37.25</v>
      </c>
      <c r="G461" s="1">
        <v>56</v>
      </c>
      <c r="H461" s="1">
        <f t="shared" si="4"/>
        <v>51.75</v>
      </c>
      <c r="I461" s="1">
        <v>79</v>
      </c>
      <c r="J461" s="1">
        <f t="shared" si="4"/>
        <v>74.25</v>
      </c>
      <c r="M461" s="1">
        <v>8</v>
      </c>
      <c r="P461" s="1">
        <v>4</v>
      </c>
      <c r="Q461" s="1">
        <v>5</v>
      </c>
      <c r="R461" s="1">
        <v>3</v>
      </c>
      <c r="S461" s="1">
        <v>40</v>
      </c>
    </row>
    <row r="462" spans="1:19" x14ac:dyDescent="0.25">
      <c r="A462" s="12">
        <v>37910</v>
      </c>
      <c r="B462" s="14" t="s">
        <v>479</v>
      </c>
      <c r="C462" s="14"/>
      <c r="D462" s="14"/>
      <c r="E462" s="1">
        <v>38</v>
      </c>
      <c r="F462" s="1">
        <f t="shared" si="4"/>
        <v>36.5</v>
      </c>
      <c r="G462" s="1">
        <v>56</v>
      </c>
      <c r="H462" s="1">
        <f t="shared" si="4"/>
        <v>52</v>
      </c>
      <c r="I462" s="1">
        <v>82</v>
      </c>
      <c r="J462" s="1">
        <f t="shared" si="4"/>
        <v>65.75</v>
      </c>
      <c r="M462" s="1">
        <v>11</v>
      </c>
      <c r="P462" s="1">
        <v>8</v>
      </c>
      <c r="Q462" s="1">
        <v>6</v>
      </c>
      <c r="R462" s="1">
        <v>7</v>
      </c>
      <c r="S462" s="1">
        <v>41</v>
      </c>
    </row>
    <row r="463" spans="1:19" x14ac:dyDescent="0.25">
      <c r="A463" s="12">
        <v>37917</v>
      </c>
      <c r="B463" s="14" t="s">
        <v>480</v>
      </c>
      <c r="C463" s="14"/>
      <c r="D463" s="14"/>
      <c r="E463" s="1">
        <v>40</v>
      </c>
      <c r="F463" s="1">
        <f t="shared" si="4"/>
        <v>32.75</v>
      </c>
      <c r="G463" s="1">
        <v>61</v>
      </c>
      <c r="H463" s="1">
        <f t="shared" si="4"/>
        <v>57</v>
      </c>
      <c r="I463" s="1">
        <v>84</v>
      </c>
      <c r="J463" s="1">
        <f t="shared" si="4"/>
        <v>64.5</v>
      </c>
      <c r="M463" s="1">
        <v>11</v>
      </c>
      <c r="P463" s="1">
        <v>12</v>
      </c>
      <c r="Q463" s="1">
        <v>4</v>
      </c>
      <c r="R463" s="1">
        <v>3</v>
      </c>
      <c r="S463" s="1">
        <v>42</v>
      </c>
    </row>
    <row r="464" spans="1:19" x14ac:dyDescent="0.25">
      <c r="A464" s="12">
        <v>37924</v>
      </c>
      <c r="B464" s="14" t="s">
        <v>481</v>
      </c>
      <c r="C464" s="14"/>
      <c r="D464" s="14"/>
      <c r="E464" s="1">
        <v>28</v>
      </c>
      <c r="F464" s="1">
        <f t="shared" si="4"/>
        <v>38</v>
      </c>
      <c r="G464" s="1">
        <v>66</v>
      </c>
      <c r="H464" s="1">
        <f t="shared" si="4"/>
        <v>56.5</v>
      </c>
      <c r="I464" s="1">
        <v>84</v>
      </c>
      <c r="J464" s="1">
        <f t="shared" si="4"/>
        <v>74.75</v>
      </c>
      <c r="M464" s="1">
        <v>7</v>
      </c>
      <c r="P464" s="1">
        <v>2</v>
      </c>
      <c r="Q464" s="1">
        <v>14</v>
      </c>
      <c r="R464" s="1">
        <v>2</v>
      </c>
      <c r="S464" s="1">
        <v>43</v>
      </c>
    </row>
    <row r="465" spans="1:19" x14ac:dyDescent="0.25">
      <c r="A465" s="12">
        <v>37931</v>
      </c>
      <c r="B465" s="14" t="s">
        <v>482</v>
      </c>
      <c r="C465" s="14"/>
      <c r="D465" s="14"/>
      <c r="E465" s="1">
        <v>34</v>
      </c>
      <c r="F465" s="1">
        <f t="shared" si="4"/>
        <v>43.25</v>
      </c>
      <c r="G465" s="1">
        <v>56</v>
      </c>
      <c r="H465" s="1">
        <f t="shared" si="4"/>
        <v>54</v>
      </c>
      <c r="I465" s="1">
        <v>93</v>
      </c>
      <c r="J465" s="1">
        <f t="shared" si="4"/>
        <v>68.25</v>
      </c>
      <c r="M465" s="1">
        <v>9</v>
      </c>
      <c r="P465" s="1">
        <v>3</v>
      </c>
      <c r="Q465" s="1">
        <v>5</v>
      </c>
      <c r="R465" s="1">
        <v>5</v>
      </c>
      <c r="S465" s="1">
        <v>44</v>
      </c>
    </row>
    <row r="466" spans="1:19" x14ac:dyDescent="0.25">
      <c r="A466" s="12">
        <v>37938</v>
      </c>
      <c r="B466" s="14" t="s">
        <v>483</v>
      </c>
      <c r="C466" s="14"/>
      <c r="D466" s="14"/>
      <c r="E466" s="1">
        <v>37</v>
      </c>
      <c r="F466" s="1">
        <f t="shared" si="4"/>
        <v>35</v>
      </c>
      <c r="G466" s="1">
        <v>57</v>
      </c>
      <c r="H466" s="1">
        <f t="shared" si="4"/>
        <v>55.5</v>
      </c>
      <c r="I466" s="1">
        <v>83</v>
      </c>
      <c r="J466" s="1">
        <f t="shared" si="4"/>
        <v>74.5</v>
      </c>
      <c r="M466" s="1">
        <v>10</v>
      </c>
      <c r="P466" s="1">
        <v>13</v>
      </c>
      <c r="Q466" s="1">
        <v>6</v>
      </c>
      <c r="R466" s="1">
        <v>0</v>
      </c>
      <c r="S466" s="1">
        <v>45</v>
      </c>
    </row>
    <row r="467" spans="1:19" x14ac:dyDescent="0.25">
      <c r="A467" s="12">
        <v>37945</v>
      </c>
      <c r="B467" s="14" t="s">
        <v>484</v>
      </c>
      <c r="C467" s="14"/>
      <c r="D467" s="14"/>
      <c r="E467" s="1">
        <v>33</v>
      </c>
      <c r="F467" s="1">
        <f t="shared" si="4"/>
        <v>36</v>
      </c>
      <c r="G467" s="1">
        <v>67</v>
      </c>
      <c r="H467" s="1">
        <f t="shared" si="4"/>
        <v>51.5</v>
      </c>
      <c r="I467" s="1">
        <v>78</v>
      </c>
      <c r="J467" s="1">
        <f t="shared" si="4"/>
        <v>67.25</v>
      </c>
      <c r="M467" s="1">
        <v>8</v>
      </c>
      <c r="P467" s="1">
        <v>3</v>
      </c>
      <c r="Q467" s="1">
        <v>7</v>
      </c>
      <c r="R467" s="1">
        <v>4</v>
      </c>
      <c r="S467" s="1">
        <v>46</v>
      </c>
    </row>
    <row r="468" spans="1:19" x14ac:dyDescent="0.25">
      <c r="A468" s="12">
        <v>37952</v>
      </c>
      <c r="B468" s="14" t="s">
        <v>485</v>
      </c>
      <c r="C468" s="14"/>
      <c r="D468" s="14"/>
      <c r="E468" s="1">
        <v>35</v>
      </c>
      <c r="F468" s="1">
        <f t="shared" si="4"/>
        <v>41</v>
      </c>
      <c r="G468" s="1">
        <v>76</v>
      </c>
      <c r="H468" s="1">
        <f t="shared" si="4"/>
        <v>51</v>
      </c>
      <c r="I468" s="1">
        <v>51</v>
      </c>
      <c r="J468" s="1">
        <f t="shared" si="4"/>
        <v>67</v>
      </c>
      <c r="M468" s="1">
        <v>10</v>
      </c>
      <c r="P468" s="1">
        <v>15</v>
      </c>
      <c r="Q468" s="1">
        <v>4</v>
      </c>
      <c r="R468" s="1">
        <v>1</v>
      </c>
      <c r="S468" s="1">
        <v>47</v>
      </c>
    </row>
    <row r="469" spans="1:19" x14ac:dyDescent="0.25">
      <c r="A469" s="12">
        <v>37959</v>
      </c>
      <c r="B469" s="14" t="s">
        <v>486</v>
      </c>
      <c r="C469" s="14"/>
      <c r="D469" s="14"/>
      <c r="E469" s="1">
        <v>29</v>
      </c>
      <c r="F469" s="1">
        <f t="shared" si="4"/>
        <v>42.75</v>
      </c>
      <c r="G469" s="1">
        <v>60</v>
      </c>
      <c r="H469" s="1">
        <f t="shared" si="4"/>
        <v>53.75</v>
      </c>
      <c r="I469" s="1">
        <v>85</v>
      </c>
      <c r="J469" s="1">
        <f t="shared" si="4"/>
        <v>72.75</v>
      </c>
      <c r="M469" s="1">
        <v>10</v>
      </c>
      <c r="P469" s="1">
        <v>8</v>
      </c>
      <c r="Q469" s="1">
        <v>10</v>
      </c>
      <c r="R469" s="1">
        <v>1</v>
      </c>
      <c r="S469" s="1">
        <v>48</v>
      </c>
    </row>
    <row r="470" spans="1:19" x14ac:dyDescent="0.25">
      <c r="A470" s="12">
        <v>37966</v>
      </c>
      <c r="B470" s="14" t="s">
        <v>487</v>
      </c>
      <c r="C470" s="14"/>
      <c r="D470" s="14"/>
      <c r="E470" s="1">
        <v>23</v>
      </c>
      <c r="F470" s="1">
        <f t="shared" si="4"/>
        <v>39.25</v>
      </c>
      <c r="G470" s="1">
        <v>52</v>
      </c>
      <c r="H470" s="1">
        <f t="shared" si="4"/>
        <v>54</v>
      </c>
      <c r="I470" s="1">
        <v>62</v>
      </c>
      <c r="J470" s="1">
        <f t="shared" si="4"/>
        <v>73.75</v>
      </c>
      <c r="M470" s="1">
        <v>5</v>
      </c>
      <c r="P470" s="1">
        <v>5</v>
      </c>
      <c r="Q470" s="1">
        <v>7</v>
      </c>
      <c r="R470" s="1">
        <v>4</v>
      </c>
      <c r="S470" s="1">
        <v>49</v>
      </c>
    </row>
    <row r="471" spans="1:19" x14ac:dyDescent="0.25">
      <c r="A471" s="12">
        <v>37973</v>
      </c>
      <c r="B471" s="14" t="s">
        <v>488</v>
      </c>
      <c r="C471" s="14"/>
      <c r="D471" s="14"/>
      <c r="E471" s="1">
        <v>22</v>
      </c>
      <c r="F471" s="1">
        <f t="shared" si="4"/>
        <v>37</v>
      </c>
      <c r="G471" s="1">
        <v>57</v>
      </c>
      <c r="H471" s="1">
        <f t="shared" si="4"/>
        <v>48.25</v>
      </c>
      <c r="I471" s="1">
        <v>82</v>
      </c>
      <c r="J471" s="1">
        <f t="shared" si="4"/>
        <v>66</v>
      </c>
      <c r="M471" s="1">
        <v>10</v>
      </c>
      <c r="P471" s="1">
        <v>7</v>
      </c>
      <c r="Q471" s="1">
        <v>7</v>
      </c>
      <c r="R471" s="1">
        <v>0</v>
      </c>
      <c r="S471" s="1">
        <v>50</v>
      </c>
    </row>
    <row r="472" spans="1:19" x14ac:dyDescent="0.25">
      <c r="A472" s="12">
        <v>37980</v>
      </c>
      <c r="B472" s="14" t="s">
        <v>489</v>
      </c>
      <c r="C472" s="14"/>
      <c r="D472" s="14"/>
      <c r="E472" s="1">
        <v>20</v>
      </c>
      <c r="F472" s="1">
        <f t="shared" si="4"/>
        <v>32.5</v>
      </c>
      <c r="G472" s="1">
        <v>57</v>
      </c>
      <c r="H472" s="1">
        <f t="shared" si="4"/>
        <v>42.25</v>
      </c>
      <c r="I472" s="1">
        <v>64</v>
      </c>
      <c r="J472" s="1">
        <f t="shared" si="4"/>
        <v>57</v>
      </c>
      <c r="M472" s="1">
        <v>9</v>
      </c>
      <c r="P472" s="1">
        <v>5</v>
      </c>
      <c r="Q472" s="1">
        <v>6</v>
      </c>
      <c r="R472" s="1">
        <v>1</v>
      </c>
      <c r="S472" s="1">
        <v>51</v>
      </c>
    </row>
    <row r="473" spans="1:19" x14ac:dyDescent="0.25">
      <c r="A473" s="12">
        <v>37987</v>
      </c>
      <c r="B473" s="14" t="s">
        <v>490</v>
      </c>
      <c r="C473" s="14"/>
      <c r="D473" s="14"/>
      <c r="E473" s="1">
        <v>28</v>
      </c>
      <c r="F473" s="1">
        <f t="shared" ref="F473:F536" si="5">AVERAGE(E421,E369,E317,E265)</f>
        <v>38.25</v>
      </c>
      <c r="G473" s="1">
        <v>36</v>
      </c>
      <c r="H473" s="1">
        <f t="shared" ref="H473:H536" si="6">AVERAGE(G421,G369,G317,G265)</f>
        <v>43.5</v>
      </c>
      <c r="I473" s="1">
        <v>62</v>
      </c>
      <c r="J473" s="1">
        <f t="shared" ref="J473:J536" si="7">AVERAGE(I421,I369,I317,I265)</f>
        <v>65</v>
      </c>
      <c r="M473" s="1">
        <v>13</v>
      </c>
      <c r="P473" s="1">
        <v>4</v>
      </c>
      <c r="Q473" s="1">
        <v>3</v>
      </c>
      <c r="R473" s="1">
        <v>2</v>
      </c>
      <c r="S473" s="1">
        <v>52</v>
      </c>
    </row>
    <row r="474" spans="1:19" x14ac:dyDescent="0.25">
      <c r="A474" s="12">
        <v>37994</v>
      </c>
      <c r="B474" s="14" t="s">
        <v>491</v>
      </c>
      <c r="C474" s="14"/>
      <c r="D474" s="14"/>
      <c r="E474" s="1">
        <v>37</v>
      </c>
      <c r="F474" s="1">
        <f t="shared" si="5"/>
        <v>42.5</v>
      </c>
      <c r="G474" s="1">
        <v>53</v>
      </c>
      <c r="H474" s="1">
        <f t="shared" si="6"/>
        <v>52.75</v>
      </c>
      <c r="I474" s="1">
        <v>78</v>
      </c>
      <c r="J474" s="1">
        <f t="shared" si="7"/>
        <v>68.5</v>
      </c>
      <c r="M474" s="1">
        <v>10</v>
      </c>
      <c r="P474" s="1">
        <v>6</v>
      </c>
      <c r="Q474" s="1">
        <v>5</v>
      </c>
      <c r="R474" s="1">
        <v>0</v>
      </c>
      <c r="S474" s="1">
        <v>1</v>
      </c>
    </row>
    <row r="475" spans="1:19" x14ac:dyDescent="0.25">
      <c r="A475" s="12">
        <v>38001</v>
      </c>
      <c r="B475" s="14" t="s">
        <v>492</v>
      </c>
      <c r="C475" s="14"/>
      <c r="D475" s="14"/>
      <c r="E475" s="1">
        <v>34</v>
      </c>
      <c r="F475" s="1">
        <f t="shared" si="5"/>
        <v>37.25</v>
      </c>
      <c r="G475" s="1">
        <v>64</v>
      </c>
      <c r="H475" s="1">
        <f t="shared" si="6"/>
        <v>51.25</v>
      </c>
      <c r="I475" s="1">
        <v>91</v>
      </c>
      <c r="J475" s="1">
        <f t="shared" si="7"/>
        <v>67</v>
      </c>
      <c r="M475" s="1">
        <v>11</v>
      </c>
      <c r="P475" s="1">
        <v>3</v>
      </c>
      <c r="Q475" s="1">
        <v>5</v>
      </c>
      <c r="R475" s="1">
        <v>0</v>
      </c>
      <c r="S475" s="1">
        <v>2</v>
      </c>
    </row>
    <row r="476" spans="1:19" x14ac:dyDescent="0.25">
      <c r="A476" s="12">
        <v>38008</v>
      </c>
      <c r="B476" s="14" t="s">
        <v>493</v>
      </c>
      <c r="C476" s="14"/>
      <c r="D476" s="14"/>
      <c r="E476" s="1">
        <v>29</v>
      </c>
      <c r="F476" s="1">
        <f t="shared" si="5"/>
        <v>37.5</v>
      </c>
      <c r="G476" s="1">
        <v>61</v>
      </c>
      <c r="H476" s="1">
        <f t="shared" si="6"/>
        <v>55.25</v>
      </c>
      <c r="I476" s="1">
        <v>78</v>
      </c>
      <c r="J476" s="1">
        <f t="shared" si="7"/>
        <v>74.25</v>
      </c>
      <c r="M476" s="1">
        <v>9</v>
      </c>
      <c r="P476" s="1">
        <v>3</v>
      </c>
      <c r="Q476" s="1">
        <v>6</v>
      </c>
      <c r="R476" s="1">
        <v>4</v>
      </c>
      <c r="S476" s="1">
        <v>3</v>
      </c>
    </row>
    <row r="477" spans="1:19" x14ac:dyDescent="0.25">
      <c r="A477" s="12">
        <v>38015</v>
      </c>
      <c r="B477" s="14" t="s">
        <v>494</v>
      </c>
      <c r="C477" s="14"/>
      <c r="D477" s="14"/>
      <c r="E477" s="1">
        <v>28</v>
      </c>
      <c r="F477" s="1">
        <f t="shared" si="5"/>
        <v>42.75</v>
      </c>
      <c r="G477" s="1">
        <v>60</v>
      </c>
      <c r="H477" s="1">
        <f t="shared" si="6"/>
        <v>55.75</v>
      </c>
      <c r="I477" s="1">
        <v>69</v>
      </c>
      <c r="J477" s="1">
        <f t="shared" si="7"/>
        <v>72.5</v>
      </c>
      <c r="M477" s="1">
        <v>12</v>
      </c>
      <c r="P477" s="1">
        <v>6</v>
      </c>
      <c r="Q477" s="1">
        <v>5</v>
      </c>
      <c r="R477" s="1">
        <v>2</v>
      </c>
      <c r="S477" s="1">
        <v>4</v>
      </c>
    </row>
    <row r="478" spans="1:19" x14ac:dyDescent="0.25">
      <c r="A478" s="12">
        <v>38022</v>
      </c>
      <c r="B478" s="14" t="s">
        <v>495</v>
      </c>
      <c r="C478" s="14"/>
      <c r="D478" s="14"/>
      <c r="E478" s="1">
        <v>30</v>
      </c>
      <c r="F478" s="1">
        <f t="shared" si="5"/>
        <v>47</v>
      </c>
      <c r="G478" s="1">
        <v>47</v>
      </c>
      <c r="H478" s="1">
        <f t="shared" si="6"/>
        <v>56.25</v>
      </c>
      <c r="I478" s="1">
        <v>63</v>
      </c>
      <c r="J478" s="1">
        <f t="shared" si="7"/>
        <v>64.5</v>
      </c>
      <c r="M478" s="1">
        <v>13</v>
      </c>
      <c r="P478" s="1">
        <v>5</v>
      </c>
      <c r="Q478" s="1">
        <v>2</v>
      </c>
      <c r="R478" s="1">
        <v>4</v>
      </c>
      <c r="S478" s="1">
        <v>5</v>
      </c>
    </row>
    <row r="479" spans="1:19" x14ac:dyDescent="0.25">
      <c r="A479" s="12">
        <v>38029</v>
      </c>
      <c r="B479" s="14" t="s">
        <v>496</v>
      </c>
      <c r="C479" s="14"/>
      <c r="D479" s="14"/>
      <c r="E479" s="1">
        <v>35</v>
      </c>
      <c r="F479" s="1">
        <f t="shared" si="5"/>
        <v>47.25</v>
      </c>
      <c r="G479" s="1">
        <v>46</v>
      </c>
      <c r="H479" s="1">
        <f t="shared" si="6"/>
        <v>54.25</v>
      </c>
      <c r="I479" s="1">
        <v>74</v>
      </c>
      <c r="J479" s="1">
        <f t="shared" si="7"/>
        <v>65.5</v>
      </c>
      <c r="M479" s="1">
        <v>12</v>
      </c>
      <c r="P479" s="1">
        <v>6</v>
      </c>
      <c r="Q479" s="1">
        <v>6</v>
      </c>
      <c r="R479" s="1">
        <v>2</v>
      </c>
      <c r="S479" s="1">
        <v>6</v>
      </c>
    </row>
    <row r="480" spans="1:19" x14ac:dyDescent="0.25">
      <c r="A480" s="12">
        <v>38036</v>
      </c>
      <c r="B480" s="14" t="s">
        <v>497</v>
      </c>
      <c r="C480" s="14"/>
      <c r="D480" s="14"/>
      <c r="E480" s="1">
        <v>39</v>
      </c>
      <c r="F480" s="1">
        <f t="shared" si="5"/>
        <v>47.75</v>
      </c>
      <c r="G480" s="1">
        <v>49</v>
      </c>
      <c r="H480" s="1">
        <f t="shared" si="6"/>
        <v>54.75</v>
      </c>
      <c r="I480" s="1">
        <v>74</v>
      </c>
      <c r="J480" s="1">
        <f t="shared" si="7"/>
        <v>67.75</v>
      </c>
      <c r="M480" s="1">
        <v>9</v>
      </c>
      <c r="P480" s="1">
        <v>6</v>
      </c>
      <c r="Q480" s="1">
        <v>3</v>
      </c>
      <c r="R480" s="1">
        <v>2</v>
      </c>
      <c r="S480" s="1">
        <v>7</v>
      </c>
    </row>
    <row r="481" spans="1:19" x14ac:dyDescent="0.25">
      <c r="A481" s="12">
        <v>38043</v>
      </c>
      <c r="B481" s="14" t="s">
        <v>498</v>
      </c>
      <c r="C481" s="14"/>
      <c r="D481" s="14"/>
      <c r="E481" s="1">
        <v>26</v>
      </c>
      <c r="F481" s="1">
        <f t="shared" si="5"/>
        <v>48.25</v>
      </c>
      <c r="G481" s="1">
        <v>45</v>
      </c>
      <c r="H481" s="1">
        <f t="shared" si="6"/>
        <v>50</v>
      </c>
      <c r="I481" s="1">
        <v>78</v>
      </c>
      <c r="J481" s="1">
        <f t="shared" si="7"/>
        <v>66</v>
      </c>
      <c r="M481" s="1">
        <v>6</v>
      </c>
      <c r="P481" s="1">
        <v>4</v>
      </c>
      <c r="Q481" s="1">
        <v>7</v>
      </c>
      <c r="R481" s="1">
        <v>1</v>
      </c>
      <c r="S481" s="1">
        <v>8</v>
      </c>
    </row>
    <row r="482" spans="1:19" x14ac:dyDescent="0.25">
      <c r="A482" s="12">
        <v>38050</v>
      </c>
      <c r="B482" s="14" t="s">
        <v>499</v>
      </c>
      <c r="C482" s="14"/>
      <c r="D482" s="14"/>
      <c r="E482" s="1">
        <v>23</v>
      </c>
      <c r="F482" s="1">
        <f t="shared" si="5"/>
        <v>48</v>
      </c>
      <c r="G482" s="1">
        <v>73</v>
      </c>
      <c r="H482" s="1">
        <f t="shared" si="6"/>
        <v>52.25</v>
      </c>
      <c r="I482" s="1">
        <v>65</v>
      </c>
      <c r="J482" s="1">
        <f t="shared" si="7"/>
        <v>60.5</v>
      </c>
      <c r="M482" s="1">
        <v>10</v>
      </c>
      <c r="P482" s="1">
        <v>4</v>
      </c>
      <c r="Q482" s="1">
        <v>3</v>
      </c>
      <c r="R482" s="1">
        <v>2</v>
      </c>
      <c r="S482" s="1">
        <v>9</v>
      </c>
    </row>
    <row r="483" spans="1:19" x14ac:dyDescent="0.25">
      <c r="A483" s="12">
        <v>38057</v>
      </c>
      <c r="B483" s="14" t="s">
        <v>500</v>
      </c>
      <c r="C483" s="14"/>
      <c r="D483" s="14"/>
      <c r="E483" s="1">
        <v>22</v>
      </c>
      <c r="F483" s="1">
        <f t="shared" si="5"/>
        <v>40.25</v>
      </c>
      <c r="G483" s="1">
        <v>56</v>
      </c>
      <c r="H483" s="1">
        <f t="shared" si="6"/>
        <v>51.75</v>
      </c>
      <c r="I483" s="1">
        <v>65</v>
      </c>
      <c r="J483" s="1">
        <f t="shared" si="7"/>
        <v>63</v>
      </c>
      <c r="M483" s="1">
        <v>8</v>
      </c>
      <c r="P483" s="1">
        <v>3</v>
      </c>
      <c r="Q483" s="1">
        <v>6</v>
      </c>
      <c r="R483" s="1">
        <v>0</v>
      </c>
      <c r="S483" s="1">
        <v>10</v>
      </c>
    </row>
    <row r="484" spans="1:19" x14ac:dyDescent="0.25">
      <c r="A484" s="12">
        <v>38064</v>
      </c>
      <c r="B484" s="14" t="s">
        <v>501</v>
      </c>
      <c r="C484" s="14"/>
      <c r="D484" s="14"/>
      <c r="E484" s="1">
        <v>18</v>
      </c>
      <c r="F484" s="1">
        <f t="shared" si="5"/>
        <v>40.75</v>
      </c>
      <c r="G484" s="1">
        <v>51</v>
      </c>
      <c r="H484" s="1">
        <f t="shared" si="6"/>
        <v>48.25</v>
      </c>
      <c r="I484" s="1">
        <v>55</v>
      </c>
      <c r="J484" s="1">
        <f t="shared" si="7"/>
        <v>59.25</v>
      </c>
      <c r="M484" s="1">
        <v>12</v>
      </c>
      <c r="P484" s="1">
        <v>7</v>
      </c>
      <c r="Q484" s="1">
        <v>5</v>
      </c>
      <c r="R484" s="1">
        <v>4</v>
      </c>
      <c r="S484" s="1">
        <v>11</v>
      </c>
    </row>
    <row r="485" spans="1:19" x14ac:dyDescent="0.25">
      <c r="A485" s="12">
        <v>38071</v>
      </c>
      <c r="B485" s="14" t="s">
        <v>502</v>
      </c>
      <c r="C485" s="14"/>
      <c r="D485" s="14"/>
      <c r="E485" s="1">
        <v>18</v>
      </c>
      <c r="F485" s="1">
        <f t="shared" si="5"/>
        <v>34.75</v>
      </c>
      <c r="G485" s="1">
        <v>47</v>
      </c>
      <c r="H485" s="1">
        <f t="shared" si="6"/>
        <v>48.5</v>
      </c>
      <c r="I485" s="1">
        <v>53</v>
      </c>
      <c r="J485" s="1">
        <f t="shared" si="7"/>
        <v>64</v>
      </c>
      <c r="M485" s="1">
        <v>9</v>
      </c>
      <c r="P485" s="1">
        <v>0</v>
      </c>
      <c r="Q485" s="1">
        <v>4</v>
      </c>
      <c r="R485" s="1">
        <v>2</v>
      </c>
      <c r="S485" s="1">
        <v>12</v>
      </c>
    </row>
    <row r="486" spans="1:19" x14ac:dyDescent="0.25">
      <c r="A486" s="12">
        <v>38078</v>
      </c>
      <c r="B486" s="14" t="s">
        <v>503</v>
      </c>
      <c r="C486" s="14"/>
      <c r="D486" s="14"/>
      <c r="E486" s="1">
        <v>17</v>
      </c>
      <c r="F486" s="1">
        <f t="shared" si="5"/>
        <v>26.75</v>
      </c>
      <c r="G486" s="1">
        <v>40</v>
      </c>
      <c r="H486" s="1">
        <f t="shared" si="6"/>
        <v>45.75</v>
      </c>
      <c r="I486" s="1">
        <v>56</v>
      </c>
      <c r="J486" s="1">
        <f t="shared" si="7"/>
        <v>55</v>
      </c>
      <c r="M486" s="1">
        <v>7</v>
      </c>
      <c r="P486" s="1">
        <v>3</v>
      </c>
      <c r="Q486" s="1">
        <v>5</v>
      </c>
      <c r="R486" s="1">
        <v>1</v>
      </c>
      <c r="S486" s="1">
        <v>13</v>
      </c>
    </row>
    <row r="487" spans="1:19" x14ac:dyDescent="0.25">
      <c r="A487" s="12">
        <v>38085</v>
      </c>
      <c r="B487" s="14" t="s">
        <v>504</v>
      </c>
      <c r="C487" s="14"/>
      <c r="D487" s="14"/>
      <c r="E487" s="1">
        <v>20</v>
      </c>
      <c r="F487" s="1">
        <f t="shared" si="5"/>
        <v>30.25</v>
      </c>
      <c r="G487" s="1">
        <v>47</v>
      </c>
      <c r="H487" s="1">
        <f t="shared" si="6"/>
        <v>49.75</v>
      </c>
      <c r="I487" s="1">
        <v>43</v>
      </c>
      <c r="J487" s="1">
        <f t="shared" si="7"/>
        <v>53.25</v>
      </c>
      <c r="M487" s="1">
        <v>8</v>
      </c>
      <c r="P487" s="1">
        <v>0</v>
      </c>
      <c r="Q487" s="1">
        <v>6</v>
      </c>
      <c r="R487" s="1">
        <v>4</v>
      </c>
      <c r="S487" s="1">
        <v>14</v>
      </c>
    </row>
    <row r="488" spans="1:19" x14ac:dyDescent="0.25">
      <c r="A488" s="12">
        <v>38092</v>
      </c>
      <c r="B488" s="14" t="s">
        <v>505</v>
      </c>
      <c r="C488" s="14"/>
      <c r="D488" s="14"/>
      <c r="E488" s="1">
        <v>14</v>
      </c>
      <c r="F488" s="1">
        <f t="shared" si="5"/>
        <v>25</v>
      </c>
      <c r="G488" s="1">
        <v>28</v>
      </c>
      <c r="H488" s="1">
        <f t="shared" si="6"/>
        <v>43.5</v>
      </c>
      <c r="I488" s="1">
        <v>46</v>
      </c>
      <c r="J488" s="1">
        <f t="shared" si="7"/>
        <v>53.5</v>
      </c>
      <c r="M488" s="1">
        <v>9</v>
      </c>
      <c r="P488" s="1">
        <v>4</v>
      </c>
      <c r="Q488" s="1">
        <v>3</v>
      </c>
      <c r="R488" s="1">
        <v>3</v>
      </c>
      <c r="S488" s="1">
        <v>15</v>
      </c>
    </row>
    <row r="489" spans="1:19" x14ac:dyDescent="0.25">
      <c r="A489" s="12">
        <v>38099</v>
      </c>
      <c r="B489" s="14" t="s">
        <v>506</v>
      </c>
      <c r="C489" s="14"/>
      <c r="D489" s="14"/>
      <c r="E489" s="1">
        <v>17</v>
      </c>
      <c r="F489" s="1">
        <f t="shared" si="5"/>
        <v>20.75</v>
      </c>
      <c r="G489" s="1">
        <v>40</v>
      </c>
      <c r="H489" s="1">
        <f t="shared" si="6"/>
        <v>40.25</v>
      </c>
      <c r="I489" s="1">
        <v>45</v>
      </c>
      <c r="J489" s="1">
        <f t="shared" si="7"/>
        <v>52.5</v>
      </c>
      <c r="M489" s="1">
        <v>7</v>
      </c>
      <c r="P489" s="1">
        <v>5</v>
      </c>
      <c r="Q489" s="1">
        <v>6</v>
      </c>
      <c r="R489" s="1">
        <v>5</v>
      </c>
      <c r="S489" s="1">
        <v>16</v>
      </c>
    </row>
    <row r="490" spans="1:19" x14ac:dyDescent="0.25">
      <c r="A490" s="12">
        <v>38106</v>
      </c>
      <c r="B490" s="14" t="s">
        <v>507</v>
      </c>
      <c r="C490" s="14"/>
      <c r="D490" s="14"/>
      <c r="E490" s="1">
        <v>18</v>
      </c>
      <c r="F490" s="1">
        <f t="shared" si="5"/>
        <v>23.25</v>
      </c>
      <c r="G490" s="1">
        <v>44</v>
      </c>
      <c r="H490" s="1">
        <f t="shared" si="6"/>
        <v>40.5</v>
      </c>
      <c r="I490" s="1">
        <v>48</v>
      </c>
      <c r="J490" s="1">
        <f t="shared" si="7"/>
        <v>45.5</v>
      </c>
      <c r="M490" s="1">
        <v>11</v>
      </c>
      <c r="P490" s="1">
        <v>1</v>
      </c>
      <c r="Q490" s="1">
        <v>12</v>
      </c>
      <c r="R490" s="1">
        <v>5</v>
      </c>
      <c r="S490" s="1">
        <v>17</v>
      </c>
    </row>
    <row r="491" spans="1:19" x14ac:dyDescent="0.25">
      <c r="A491" s="12">
        <v>38113</v>
      </c>
      <c r="B491" s="14" t="s">
        <v>508</v>
      </c>
      <c r="C491" s="14"/>
      <c r="D491" s="14"/>
      <c r="E491" s="13">
        <v>16</v>
      </c>
      <c r="F491" s="1">
        <f t="shared" si="5"/>
        <v>19.5</v>
      </c>
      <c r="G491" s="1">
        <v>33</v>
      </c>
      <c r="H491" s="1">
        <f t="shared" si="6"/>
        <v>40.75</v>
      </c>
      <c r="I491" s="1">
        <v>62</v>
      </c>
      <c r="J491" s="1">
        <f t="shared" si="7"/>
        <v>55.75</v>
      </c>
      <c r="M491" s="1">
        <v>8</v>
      </c>
      <c r="P491" s="1">
        <v>5</v>
      </c>
      <c r="Q491" s="1">
        <v>7</v>
      </c>
      <c r="R491" s="1">
        <v>1</v>
      </c>
      <c r="S491" s="1">
        <v>18</v>
      </c>
    </row>
    <row r="492" spans="1:19" x14ac:dyDescent="0.25">
      <c r="A492" s="12">
        <v>38120</v>
      </c>
      <c r="B492" s="14" t="s">
        <v>509</v>
      </c>
      <c r="C492" s="14"/>
      <c r="D492" s="14"/>
      <c r="E492" s="13">
        <v>17</v>
      </c>
      <c r="F492" s="1">
        <f t="shared" si="5"/>
        <v>22.75</v>
      </c>
      <c r="G492" s="1">
        <v>40</v>
      </c>
      <c r="H492" s="1">
        <f t="shared" si="6"/>
        <v>43.75</v>
      </c>
      <c r="I492" s="1">
        <v>52</v>
      </c>
      <c r="J492" s="1">
        <f t="shared" si="7"/>
        <v>55.5</v>
      </c>
      <c r="M492" s="1">
        <v>9</v>
      </c>
      <c r="P492" s="1">
        <v>4</v>
      </c>
      <c r="Q492" s="1">
        <v>7</v>
      </c>
      <c r="R492" s="1">
        <v>3</v>
      </c>
      <c r="S492" s="1">
        <v>19</v>
      </c>
    </row>
    <row r="493" spans="1:19" x14ac:dyDescent="0.25">
      <c r="A493" s="12">
        <v>38127</v>
      </c>
      <c r="B493" s="14" t="s">
        <v>510</v>
      </c>
      <c r="C493" s="14"/>
      <c r="D493" s="14"/>
      <c r="E493" s="1">
        <v>15</v>
      </c>
      <c r="F493" s="1">
        <f t="shared" si="5"/>
        <v>25</v>
      </c>
      <c r="G493" s="1">
        <v>37</v>
      </c>
      <c r="H493" s="1">
        <f t="shared" si="6"/>
        <v>41.75</v>
      </c>
      <c r="I493" s="1">
        <v>45</v>
      </c>
      <c r="J493" s="1">
        <f t="shared" si="7"/>
        <v>52.5</v>
      </c>
      <c r="M493" s="1">
        <v>10</v>
      </c>
      <c r="P493" s="1">
        <v>4</v>
      </c>
      <c r="Q493" s="1">
        <v>7</v>
      </c>
      <c r="R493" s="1">
        <v>3</v>
      </c>
      <c r="S493" s="1">
        <v>20</v>
      </c>
    </row>
    <row r="494" spans="1:19" ht="15.75" x14ac:dyDescent="0.25">
      <c r="A494" s="12">
        <v>38134</v>
      </c>
      <c r="B494" s="14" t="s">
        <v>511</v>
      </c>
      <c r="C494" s="14"/>
      <c r="D494" s="14"/>
      <c r="E494" s="5">
        <v>13</v>
      </c>
      <c r="F494" s="1">
        <f t="shared" si="5"/>
        <v>25</v>
      </c>
      <c r="G494" s="5">
        <v>36</v>
      </c>
      <c r="H494" s="1">
        <f t="shared" si="6"/>
        <v>36.25</v>
      </c>
      <c r="I494" s="5">
        <v>46</v>
      </c>
      <c r="J494" s="1">
        <f t="shared" si="7"/>
        <v>52.75</v>
      </c>
      <c r="M494" s="5">
        <v>9</v>
      </c>
      <c r="N494" s="5"/>
      <c r="O494" s="5"/>
      <c r="P494" s="5">
        <v>1</v>
      </c>
      <c r="Q494" s="5">
        <v>9</v>
      </c>
      <c r="R494" s="5">
        <v>4</v>
      </c>
      <c r="S494" s="1">
        <v>21</v>
      </c>
    </row>
    <row r="495" spans="1:19" x14ac:dyDescent="0.25">
      <c r="A495" s="12">
        <v>38141</v>
      </c>
      <c r="B495" s="14" t="s">
        <v>512</v>
      </c>
      <c r="C495" s="14"/>
      <c r="D495" s="14"/>
      <c r="E495" s="1">
        <v>15</v>
      </c>
      <c r="F495" s="1">
        <f t="shared" si="5"/>
        <v>30</v>
      </c>
      <c r="G495" s="1">
        <v>36</v>
      </c>
      <c r="H495" s="1">
        <f t="shared" si="6"/>
        <v>38.75</v>
      </c>
      <c r="I495" s="1">
        <v>43</v>
      </c>
      <c r="J495" s="1">
        <f t="shared" si="7"/>
        <v>52.75</v>
      </c>
      <c r="M495" s="1">
        <v>11</v>
      </c>
      <c r="P495" s="1">
        <v>5</v>
      </c>
      <c r="Q495" s="1">
        <v>5</v>
      </c>
      <c r="R495" s="1">
        <v>4</v>
      </c>
      <c r="S495" s="1">
        <v>22</v>
      </c>
    </row>
    <row r="496" spans="1:19" x14ac:dyDescent="0.25">
      <c r="A496" s="12">
        <v>38148</v>
      </c>
      <c r="B496" s="14" t="s">
        <v>513</v>
      </c>
      <c r="C496" s="14"/>
      <c r="D496" s="14"/>
      <c r="E496" s="1">
        <v>12</v>
      </c>
      <c r="F496" s="1">
        <f t="shared" si="5"/>
        <v>32.75</v>
      </c>
      <c r="G496" s="1">
        <v>38</v>
      </c>
      <c r="H496" s="1">
        <f t="shared" si="6"/>
        <v>39.5</v>
      </c>
      <c r="I496" s="1">
        <v>44</v>
      </c>
      <c r="J496" s="1">
        <f t="shared" si="7"/>
        <v>59</v>
      </c>
      <c r="M496" s="1">
        <v>10</v>
      </c>
      <c r="P496" s="1">
        <v>7</v>
      </c>
      <c r="Q496" s="1">
        <v>11</v>
      </c>
      <c r="R496" s="1">
        <v>4</v>
      </c>
      <c r="S496" s="1">
        <v>23</v>
      </c>
    </row>
    <row r="497" spans="1:19" x14ac:dyDescent="0.25">
      <c r="A497" s="12">
        <v>38155</v>
      </c>
      <c r="B497" s="14" t="s">
        <v>514</v>
      </c>
      <c r="C497" s="14"/>
      <c r="D497" s="14"/>
      <c r="E497" s="1">
        <v>12</v>
      </c>
      <c r="F497" s="1">
        <f t="shared" si="5"/>
        <v>28.5</v>
      </c>
      <c r="G497" s="1">
        <v>32</v>
      </c>
      <c r="H497" s="1">
        <f t="shared" si="6"/>
        <v>46.25</v>
      </c>
      <c r="I497" s="1">
        <v>44</v>
      </c>
      <c r="J497" s="1">
        <f t="shared" si="7"/>
        <v>61</v>
      </c>
      <c r="M497" s="1">
        <v>10</v>
      </c>
      <c r="P497" s="1">
        <v>9</v>
      </c>
      <c r="Q497" s="1">
        <v>8</v>
      </c>
      <c r="R497" s="1">
        <v>3</v>
      </c>
      <c r="S497" s="1">
        <v>24</v>
      </c>
    </row>
    <row r="498" spans="1:19" x14ac:dyDescent="0.25">
      <c r="A498" s="12">
        <v>38162</v>
      </c>
      <c r="B498" s="14" t="s">
        <v>515</v>
      </c>
      <c r="C498" s="14"/>
      <c r="D498" s="14"/>
      <c r="E498" s="1">
        <v>10</v>
      </c>
      <c r="F498" s="1">
        <f t="shared" si="5"/>
        <v>26</v>
      </c>
      <c r="G498" s="1">
        <v>31</v>
      </c>
      <c r="H498" s="1">
        <f t="shared" si="6"/>
        <v>45.5</v>
      </c>
      <c r="I498" s="1">
        <v>52</v>
      </c>
      <c r="J498" s="1">
        <f t="shared" si="7"/>
        <v>62.25</v>
      </c>
      <c r="M498" s="1">
        <v>8</v>
      </c>
      <c r="P498" s="1">
        <v>7</v>
      </c>
      <c r="Q498" s="1">
        <v>9</v>
      </c>
      <c r="R498" s="1">
        <v>1</v>
      </c>
      <c r="S498" s="1">
        <v>25</v>
      </c>
    </row>
    <row r="499" spans="1:19" x14ac:dyDescent="0.25">
      <c r="A499" s="12">
        <v>38169</v>
      </c>
      <c r="B499" s="14" t="s">
        <v>516</v>
      </c>
      <c r="C499" s="14"/>
      <c r="D499" s="14"/>
      <c r="E499" s="1">
        <v>21</v>
      </c>
      <c r="F499" s="1">
        <f t="shared" si="5"/>
        <v>34.25</v>
      </c>
      <c r="G499" s="1">
        <v>25</v>
      </c>
      <c r="H499" s="1">
        <f t="shared" si="6"/>
        <v>43.75</v>
      </c>
      <c r="I499" s="1">
        <v>38</v>
      </c>
      <c r="J499" s="1">
        <f t="shared" si="7"/>
        <v>64</v>
      </c>
      <c r="M499" s="1">
        <v>9</v>
      </c>
      <c r="P499" s="1">
        <v>3</v>
      </c>
      <c r="Q499" s="1">
        <v>8</v>
      </c>
      <c r="R499" s="1">
        <v>3</v>
      </c>
      <c r="S499" s="1">
        <v>26</v>
      </c>
    </row>
    <row r="500" spans="1:19" x14ac:dyDescent="0.25">
      <c r="A500" s="12">
        <v>38176</v>
      </c>
      <c r="B500" s="14" t="s">
        <v>517</v>
      </c>
      <c r="C500" s="14"/>
      <c r="D500" s="14"/>
      <c r="E500" s="1">
        <v>29</v>
      </c>
      <c r="F500" s="1">
        <f t="shared" si="5"/>
        <v>34</v>
      </c>
      <c r="G500" s="1">
        <v>36</v>
      </c>
      <c r="H500" s="1">
        <f t="shared" si="6"/>
        <v>51.5</v>
      </c>
      <c r="I500" s="1">
        <v>45</v>
      </c>
      <c r="J500" s="1">
        <f t="shared" si="7"/>
        <v>61.5</v>
      </c>
      <c r="M500" s="1">
        <v>6</v>
      </c>
      <c r="P500" s="1">
        <v>4</v>
      </c>
      <c r="Q500" s="1">
        <v>8</v>
      </c>
      <c r="R500" s="1">
        <v>2</v>
      </c>
      <c r="S500" s="1">
        <v>27</v>
      </c>
    </row>
    <row r="501" spans="1:19" x14ac:dyDescent="0.25">
      <c r="A501" s="12">
        <v>38183</v>
      </c>
      <c r="B501" s="14" t="s">
        <v>518</v>
      </c>
      <c r="C501" s="14"/>
      <c r="D501" s="14"/>
      <c r="E501" s="1">
        <v>14</v>
      </c>
      <c r="F501" s="1">
        <f t="shared" si="5"/>
        <v>30.5</v>
      </c>
      <c r="G501" s="1">
        <v>44</v>
      </c>
      <c r="H501" s="1">
        <f t="shared" si="6"/>
        <v>50.75</v>
      </c>
      <c r="I501" s="1">
        <v>52</v>
      </c>
      <c r="J501" s="1">
        <f t="shared" si="7"/>
        <v>58.25</v>
      </c>
      <c r="M501" s="1">
        <v>7</v>
      </c>
      <c r="P501" s="1">
        <v>1</v>
      </c>
      <c r="Q501" s="1">
        <v>5</v>
      </c>
      <c r="R501" s="1">
        <v>1</v>
      </c>
      <c r="S501" s="1">
        <v>28</v>
      </c>
    </row>
    <row r="502" spans="1:19" x14ac:dyDescent="0.25">
      <c r="A502" s="12">
        <v>38190</v>
      </c>
      <c r="B502" s="14" t="s">
        <v>519</v>
      </c>
      <c r="C502" s="14"/>
      <c r="D502" s="14"/>
      <c r="E502" s="1">
        <v>14</v>
      </c>
      <c r="F502" s="1">
        <f t="shared" si="5"/>
        <v>32.5</v>
      </c>
      <c r="G502" s="1">
        <v>35</v>
      </c>
      <c r="H502" s="1">
        <f t="shared" si="6"/>
        <v>48.75</v>
      </c>
      <c r="I502" s="1">
        <v>52</v>
      </c>
      <c r="J502" s="1">
        <f t="shared" si="7"/>
        <v>63.75</v>
      </c>
      <c r="M502" s="1">
        <v>6</v>
      </c>
      <c r="P502" s="1">
        <v>2</v>
      </c>
      <c r="Q502" s="1">
        <v>6</v>
      </c>
      <c r="R502" s="1">
        <v>0</v>
      </c>
      <c r="S502" s="1">
        <v>29</v>
      </c>
    </row>
    <row r="503" spans="1:19" x14ac:dyDescent="0.25">
      <c r="A503" s="12">
        <v>38197</v>
      </c>
      <c r="B503" s="14" t="s">
        <v>520</v>
      </c>
      <c r="C503" s="14"/>
      <c r="D503" s="14"/>
      <c r="E503" s="1">
        <v>16</v>
      </c>
      <c r="F503" s="1">
        <f t="shared" si="5"/>
        <v>26</v>
      </c>
      <c r="G503" s="1">
        <v>39</v>
      </c>
      <c r="H503" s="1">
        <f t="shared" si="6"/>
        <v>50</v>
      </c>
      <c r="I503" s="1">
        <v>48</v>
      </c>
      <c r="J503" s="1">
        <f t="shared" si="7"/>
        <v>69</v>
      </c>
      <c r="M503" s="1">
        <v>12</v>
      </c>
      <c r="P503" s="1">
        <v>2</v>
      </c>
      <c r="Q503" s="1">
        <v>4</v>
      </c>
      <c r="R503" s="1">
        <v>2</v>
      </c>
      <c r="S503" s="1">
        <v>30</v>
      </c>
    </row>
    <row r="504" spans="1:19" x14ac:dyDescent="0.25">
      <c r="A504" s="12">
        <v>38204</v>
      </c>
      <c r="B504" s="14" t="s">
        <v>521</v>
      </c>
      <c r="C504" s="14"/>
      <c r="D504" s="14"/>
      <c r="E504" s="1">
        <v>16</v>
      </c>
      <c r="F504" s="1">
        <f t="shared" si="5"/>
        <v>33</v>
      </c>
      <c r="G504" s="1">
        <v>40</v>
      </c>
      <c r="H504" s="1">
        <f t="shared" si="6"/>
        <v>49.5</v>
      </c>
      <c r="I504" s="1">
        <v>50</v>
      </c>
      <c r="J504" s="1">
        <f t="shared" si="7"/>
        <v>69.25</v>
      </c>
      <c r="M504" s="1">
        <v>6</v>
      </c>
      <c r="P504" s="1">
        <v>4</v>
      </c>
      <c r="Q504" s="1">
        <v>3</v>
      </c>
      <c r="R504" s="1">
        <v>2</v>
      </c>
      <c r="S504" s="1">
        <v>31</v>
      </c>
    </row>
    <row r="505" spans="1:19" x14ac:dyDescent="0.25">
      <c r="A505" s="12">
        <v>38211</v>
      </c>
      <c r="B505" s="14" t="s">
        <v>522</v>
      </c>
      <c r="C505" s="14"/>
      <c r="D505" s="14"/>
      <c r="E505" s="1">
        <v>16</v>
      </c>
      <c r="F505" s="1">
        <f t="shared" si="5"/>
        <v>31.25</v>
      </c>
      <c r="G505" s="1">
        <v>39</v>
      </c>
      <c r="H505" s="1">
        <f t="shared" si="6"/>
        <v>46.5</v>
      </c>
      <c r="I505" s="1">
        <v>57</v>
      </c>
      <c r="J505" s="1">
        <f t="shared" si="7"/>
        <v>61</v>
      </c>
      <c r="M505" s="1">
        <v>4</v>
      </c>
      <c r="P505" s="1">
        <v>5</v>
      </c>
      <c r="Q505" s="1">
        <v>5</v>
      </c>
      <c r="R505" s="1">
        <v>2</v>
      </c>
      <c r="S505" s="1">
        <v>32</v>
      </c>
    </row>
    <row r="506" spans="1:19" x14ac:dyDescent="0.25">
      <c r="A506" s="12">
        <v>38218</v>
      </c>
      <c r="B506" s="14" t="s">
        <v>523</v>
      </c>
      <c r="C506" s="14"/>
      <c r="D506" s="14"/>
      <c r="E506" s="1">
        <v>16</v>
      </c>
      <c r="F506" s="1">
        <f t="shared" si="5"/>
        <v>37.5</v>
      </c>
      <c r="G506" s="1">
        <v>41</v>
      </c>
      <c r="H506" s="1">
        <f t="shared" si="6"/>
        <v>54.25</v>
      </c>
      <c r="I506" s="1">
        <v>42</v>
      </c>
      <c r="J506" s="1">
        <f t="shared" si="7"/>
        <v>67</v>
      </c>
      <c r="M506" s="1">
        <v>13</v>
      </c>
      <c r="P506" s="1">
        <v>6</v>
      </c>
      <c r="Q506" s="1">
        <v>5</v>
      </c>
      <c r="R506" s="1">
        <v>2</v>
      </c>
      <c r="S506" s="1">
        <v>33</v>
      </c>
    </row>
    <row r="507" spans="1:19" x14ac:dyDescent="0.25">
      <c r="A507" s="12">
        <v>38225</v>
      </c>
      <c r="B507" s="14" t="s">
        <v>524</v>
      </c>
      <c r="C507" s="14"/>
      <c r="D507" s="14"/>
      <c r="E507" s="1">
        <v>21</v>
      </c>
      <c r="F507" s="1">
        <f t="shared" si="5"/>
        <v>31.25</v>
      </c>
      <c r="G507" s="1">
        <v>38</v>
      </c>
      <c r="H507" s="1">
        <f t="shared" si="6"/>
        <v>51.75</v>
      </c>
      <c r="I507" s="1">
        <v>41</v>
      </c>
      <c r="J507" s="1">
        <f t="shared" si="7"/>
        <v>63.25</v>
      </c>
      <c r="M507" s="1">
        <v>9</v>
      </c>
      <c r="P507" s="1">
        <v>5</v>
      </c>
      <c r="Q507" s="1">
        <v>9</v>
      </c>
      <c r="R507" s="1">
        <v>0</v>
      </c>
      <c r="S507" s="1">
        <v>34</v>
      </c>
    </row>
    <row r="508" spans="1:19" x14ac:dyDescent="0.25">
      <c r="A508" s="12">
        <v>38232</v>
      </c>
      <c r="B508" s="14" t="s">
        <v>525</v>
      </c>
      <c r="C508" s="14"/>
      <c r="D508" s="14"/>
      <c r="E508" s="1">
        <v>15</v>
      </c>
      <c r="F508" s="1">
        <f t="shared" si="5"/>
        <v>35.25</v>
      </c>
      <c r="G508" s="1">
        <v>42</v>
      </c>
      <c r="H508" s="1">
        <f t="shared" si="6"/>
        <v>47</v>
      </c>
      <c r="I508" s="1">
        <v>53</v>
      </c>
      <c r="J508" s="1">
        <f t="shared" si="7"/>
        <v>59.25</v>
      </c>
      <c r="M508" s="1">
        <v>10</v>
      </c>
      <c r="P508" s="1">
        <v>3</v>
      </c>
      <c r="Q508" s="1">
        <v>7</v>
      </c>
      <c r="R508" s="1">
        <v>0</v>
      </c>
      <c r="S508" s="1">
        <v>35</v>
      </c>
    </row>
    <row r="509" spans="1:19" x14ac:dyDescent="0.25">
      <c r="A509" s="12">
        <v>38239</v>
      </c>
      <c r="B509" s="14" t="s">
        <v>526</v>
      </c>
      <c r="C509" s="14"/>
      <c r="D509" s="14"/>
      <c r="E509" s="1">
        <v>24</v>
      </c>
      <c r="F509" s="1">
        <f t="shared" si="5"/>
        <v>35.75</v>
      </c>
      <c r="G509" s="1">
        <v>34</v>
      </c>
      <c r="H509" s="1">
        <f t="shared" si="6"/>
        <v>48.75</v>
      </c>
      <c r="I509" s="1">
        <v>57</v>
      </c>
      <c r="J509" s="1">
        <f t="shared" si="7"/>
        <v>57.5</v>
      </c>
      <c r="M509" s="1">
        <v>10</v>
      </c>
      <c r="P509" s="1">
        <v>6</v>
      </c>
      <c r="Q509" s="1">
        <v>2</v>
      </c>
      <c r="R509" s="1">
        <v>1</v>
      </c>
      <c r="S509" s="1">
        <v>36</v>
      </c>
    </row>
    <row r="510" spans="1:19" x14ac:dyDescent="0.25">
      <c r="A510" s="12">
        <v>38246</v>
      </c>
      <c r="B510" s="14" t="s">
        <v>527</v>
      </c>
      <c r="C510" s="14"/>
      <c r="D510" s="14"/>
      <c r="E510" s="1">
        <v>16</v>
      </c>
      <c r="F510" s="1">
        <f t="shared" si="5"/>
        <v>36.5</v>
      </c>
      <c r="G510" s="1">
        <v>31</v>
      </c>
      <c r="H510" s="1">
        <f t="shared" si="6"/>
        <v>48.75</v>
      </c>
      <c r="I510" s="1">
        <v>62</v>
      </c>
      <c r="J510" s="1">
        <f t="shared" si="7"/>
        <v>61</v>
      </c>
      <c r="M510" s="1">
        <v>11</v>
      </c>
      <c r="P510" s="1">
        <v>10</v>
      </c>
      <c r="Q510" s="1">
        <v>3</v>
      </c>
      <c r="R510" s="1">
        <v>1</v>
      </c>
      <c r="S510" s="1">
        <v>37</v>
      </c>
    </row>
    <row r="511" spans="1:19" x14ac:dyDescent="0.25">
      <c r="A511" s="12">
        <v>38253</v>
      </c>
      <c r="B511" s="14" t="s">
        <v>528</v>
      </c>
      <c r="C511" s="14"/>
      <c r="D511" s="14"/>
      <c r="E511" s="1">
        <v>27</v>
      </c>
      <c r="F511" s="1">
        <f t="shared" si="5"/>
        <v>31.5</v>
      </c>
      <c r="G511" s="1">
        <v>42</v>
      </c>
      <c r="H511" s="1">
        <f t="shared" si="6"/>
        <v>48.5</v>
      </c>
      <c r="I511" s="1">
        <v>57</v>
      </c>
      <c r="J511" s="1">
        <f t="shared" si="7"/>
        <v>65.25</v>
      </c>
      <c r="M511" s="1">
        <v>9</v>
      </c>
      <c r="P511" s="1">
        <v>10</v>
      </c>
      <c r="Q511" s="1">
        <v>9</v>
      </c>
      <c r="R511" s="1">
        <v>1</v>
      </c>
      <c r="S511" s="1">
        <v>38</v>
      </c>
    </row>
    <row r="512" spans="1:19" x14ac:dyDescent="0.25">
      <c r="A512" s="12">
        <v>38260</v>
      </c>
      <c r="B512" s="14" t="s">
        <v>529</v>
      </c>
      <c r="C512" s="14"/>
      <c r="D512" s="14"/>
      <c r="E512" s="1">
        <v>25</v>
      </c>
      <c r="F512" s="1">
        <f t="shared" si="5"/>
        <v>28.75</v>
      </c>
      <c r="G512" s="1">
        <v>48</v>
      </c>
      <c r="H512" s="1">
        <f t="shared" si="6"/>
        <v>49.5</v>
      </c>
      <c r="I512" s="1">
        <v>88</v>
      </c>
      <c r="J512" s="1">
        <f t="shared" si="7"/>
        <v>65.75</v>
      </c>
      <c r="M512" s="1">
        <v>10</v>
      </c>
      <c r="P512" s="1">
        <v>9</v>
      </c>
      <c r="Q512" s="1">
        <v>10</v>
      </c>
      <c r="R512" s="1">
        <v>1</v>
      </c>
      <c r="S512" s="1">
        <v>39</v>
      </c>
    </row>
    <row r="513" spans="1:19" x14ac:dyDescent="0.25">
      <c r="A513" s="12">
        <v>38267</v>
      </c>
      <c r="B513" s="14" t="s">
        <v>530</v>
      </c>
      <c r="C513" s="14"/>
      <c r="D513" s="14"/>
      <c r="E513" s="1">
        <v>17</v>
      </c>
      <c r="F513" s="1">
        <f t="shared" si="5"/>
        <v>37.75</v>
      </c>
      <c r="G513" s="1">
        <v>66</v>
      </c>
      <c r="H513" s="1">
        <f t="shared" si="6"/>
        <v>50</v>
      </c>
      <c r="I513" s="1">
        <v>96</v>
      </c>
      <c r="J513" s="1">
        <f t="shared" si="7"/>
        <v>74</v>
      </c>
      <c r="M513" s="1">
        <v>9</v>
      </c>
      <c r="P513" s="1">
        <v>9</v>
      </c>
      <c r="Q513" s="1">
        <v>7</v>
      </c>
      <c r="R513" s="1">
        <v>1</v>
      </c>
      <c r="S513" s="1">
        <v>40</v>
      </c>
    </row>
    <row r="514" spans="1:19" x14ac:dyDescent="0.25">
      <c r="A514" s="12">
        <v>38274</v>
      </c>
      <c r="B514" s="14" t="s">
        <v>531</v>
      </c>
      <c r="C514" s="14"/>
      <c r="D514" s="14"/>
      <c r="E514" s="1">
        <v>34</v>
      </c>
      <c r="F514" s="1">
        <f t="shared" si="5"/>
        <v>38.25</v>
      </c>
      <c r="G514" s="1">
        <v>50</v>
      </c>
      <c r="H514" s="1">
        <f t="shared" si="6"/>
        <v>52</v>
      </c>
      <c r="I514" s="1">
        <v>83</v>
      </c>
      <c r="J514" s="1">
        <f t="shared" si="7"/>
        <v>69.75</v>
      </c>
      <c r="M514" s="1">
        <v>16</v>
      </c>
      <c r="P514" s="1">
        <v>6</v>
      </c>
      <c r="Q514" s="1">
        <v>6</v>
      </c>
      <c r="R514" s="1">
        <v>1</v>
      </c>
      <c r="S514" s="1">
        <v>41</v>
      </c>
    </row>
    <row r="515" spans="1:19" x14ac:dyDescent="0.25">
      <c r="A515" s="12">
        <v>38281</v>
      </c>
      <c r="B515" s="14" t="s">
        <v>532</v>
      </c>
      <c r="C515" s="14"/>
      <c r="D515" s="14"/>
      <c r="E515" s="1">
        <v>30</v>
      </c>
      <c r="F515" s="1">
        <f t="shared" si="5"/>
        <v>37</v>
      </c>
      <c r="G515" s="1">
        <v>50</v>
      </c>
      <c r="H515" s="1">
        <f t="shared" si="6"/>
        <v>57.5</v>
      </c>
      <c r="I515" s="1">
        <v>81</v>
      </c>
      <c r="J515" s="1">
        <f t="shared" si="7"/>
        <v>71</v>
      </c>
      <c r="M515" s="1">
        <v>13</v>
      </c>
      <c r="P515" s="1">
        <v>10</v>
      </c>
      <c r="Q515" s="1">
        <v>4</v>
      </c>
      <c r="R515" s="1">
        <v>3</v>
      </c>
      <c r="S515" s="1">
        <v>42</v>
      </c>
    </row>
    <row r="516" spans="1:19" x14ac:dyDescent="0.25">
      <c r="A516" s="12">
        <v>38288</v>
      </c>
      <c r="B516" s="14" t="s">
        <v>533</v>
      </c>
      <c r="C516" s="14"/>
      <c r="D516" s="14"/>
      <c r="E516" s="1">
        <v>27</v>
      </c>
      <c r="F516" s="1">
        <f t="shared" si="5"/>
        <v>35.75</v>
      </c>
      <c r="G516" s="1">
        <v>50</v>
      </c>
      <c r="H516" s="1">
        <f t="shared" si="6"/>
        <v>60.25</v>
      </c>
      <c r="I516" s="1">
        <v>71</v>
      </c>
      <c r="J516" s="1">
        <f t="shared" si="7"/>
        <v>76.75</v>
      </c>
      <c r="M516" s="1">
        <v>7</v>
      </c>
      <c r="P516" s="1">
        <v>8</v>
      </c>
      <c r="Q516" s="1">
        <v>5</v>
      </c>
      <c r="R516" s="1">
        <v>5</v>
      </c>
      <c r="S516" s="1">
        <v>43</v>
      </c>
    </row>
    <row r="517" spans="1:19" x14ac:dyDescent="0.25">
      <c r="A517" s="12">
        <v>38295</v>
      </c>
      <c r="B517" s="14" t="s">
        <v>534</v>
      </c>
      <c r="C517" s="14"/>
      <c r="D517" s="14"/>
      <c r="E517" s="1">
        <v>43</v>
      </c>
      <c r="F517" s="1">
        <f t="shared" si="5"/>
        <v>42.75</v>
      </c>
      <c r="G517" s="1">
        <v>51</v>
      </c>
      <c r="H517" s="1">
        <f t="shared" si="6"/>
        <v>53.25</v>
      </c>
      <c r="I517" s="1">
        <v>64</v>
      </c>
      <c r="J517" s="1">
        <f t="shared" si="7"/>
        <v>76.25</v>
      </c>
      <c r="M517" s="1">
        <v>12</v>
      </c>
      <c r="P517" s="1">
        <v>12</v>
      </c>
      <c r="Q517" s="1">
        <v>9</v>
      </c>
      <c r="R517" s="1">
        <v>2</v>
      </c>
      <c r="S517" s="1">
        <v>44</v>
      </c>
    </row>
    <row r="518" spans="1:19" x14ac:dyDescent="0.25">
      <c r="A518" s="12">
        <v>38302</v>
      </c>
      <c r="B518" s="14" t="s">
        <v>535</v>
      </c>
      <c r="C518" s="14"/>
      <c r="D518" s="14"/>
      <c r="E518" s="1">
        <v>41</v>
      </c>
      <c r="F518" s="1">
        <f t="shared" si="5"/>
        <v>38.5</v>
      </c>
      <c r="G518" s="1">
        <v>51</v>
      </c>
      <c r="H518" s="1">
        <f t="shared" si="6"/>
        <v>55.5</v>
      </c>
      <c r="I518" s="1">
        <v>68</v>
      </c>
      <c r="J518" s="1">
        <f t="shared" si="7"/>
        <v>76.5</v>
      </c>
      <c r="M518" s="1">
        <v>12</v>
      </c>
      <c r="P518" s="1">
        <v>10</v>
      </c>
      <c r="Q518" s="1">
        <v>8</v>
      </c>
      <c r="R518" s="1">
        <v>2</v>
      </c>
      <c r="S518" s="1">
        <v>45</v>
      </c>
    </row>
    <row r="519" spans="1:19" x14ac:dyDescent="0.25">
      <c r="A519" s="12">
        <v>38309</v>
      </c>
      <c r="B519" s="14" t="s">
        <v>536</v>
      </c>
      <c r="C519" s="14"/>
      <c r="D519" s="14"/>
      <c r="E519" s="1">
        <v>31</v>
      </c>
      <c r="F519" s="1">
        <f t="shared" si="5"/>
        <v>39</v>
      </c>
      <c r="G519" s="1">
        <v>49</v>
      </c>
      <c r="H519" s="1">
        <f t="shared" si="6"/>
        <v>53.25</v>
      </c>
      <c r="I519" s="1">
        <v>67</v>
      </c>
      <c r="J519" s="1">
        <f t="shared" si="7"/>
        <v>70.25</v>
      </c>
      <c r="M519" s="1">
        <v>9</v>
      </c>
      <c r="P519" s="1">
        <v>18</v>
      </c>
      <c r="Q519" s="1">
        <v>1</v>
      </c>
      <c r="R519" s="1">
        <v>3</v>
      </c>
      <c r="S519" s="1">
        <v>46</v>
      </c>
    </row>
    <row r="520" spans="1:19" x14ac:dyDescent="0.25">
      <c r="A520" s="12">
        <v>38316</v>
      </c>
      <c r="B520" s="14" t="s">
        <v>537</v>
      </c>
      <c r="C520" s="14"/>
      <c r="D520" s="14"/>
      <c r="E520" s="1">
        <v>35</v>
      </c>
      <c r="F520" s="1">
        <f t="shared" si="5"/>
        <v>42</v>
      </c>
      <c r="G520" s="1">
        <v>44</v>
      </c>
      <c r="H520" s="1">
        <f t="shared" si="6"/>
        <v>58.25</v>
      </c>
      <c r="I520" s="1">
        <v>65</v>
      </c>
      <c r="J520" s="1">
        <f t="shared" si="7"/>
        <v>66</v>
      </c>
      <c r="M520" s="1">
        <v>8</v>
      </c>
      <c r="P520" s="1">
        <v>16</v>
      </c>
      <c r="Q520" s="1">
        <v>11</v>
      </c>
      <c r="R520" s="1">
        <v>1</v>
      </c>
      <c r="S520" s="1">
        <v>47</v>
      </c>
    </row>
    <row r="521" spans="1:19" x14ac:dyDescent="0.25">
      <c r="A521" s="12">
        <v>38323</v>
      </c>
      <c r="B521" s="14" t="s">
        <v>538</v>
      </c>
      <c r="C521" s="14"/>
      <c r="D521" s="14"/>
      <c r="E521" s="1">
        <v>28</v>
      </c>
      <c r="F521" s="1">
        <f t="shared" si="5"/>
        <v>42</v>
      </c>
      <c r="G521" s="1">
        <v>48</v>
      </c>
      <c r="H521" s="1">
        <f t="shared" si="6"/>
        <v>55.5</v>
      </c>
      <c r="I521" s="1">
        <v>65</v>
      </c>
      <c r="J521" s="1">
        <f t="shared" si="7"/>
        <v>75.5</v>
      </c>
      <c r="M521" s="1">
        <v>10</v>
      </c>
      <c r="P521" s="1">
        <v>10</v>
      </c>
      <c r="Q521" s="1">
        <v>10</v>
      </c>
      <c r="R521" s="1">
        <v>3</v>
      </c>
      <c r="S521" s="1">
        <v>48</v>
      </c>
    </row>
    <row r="522" spans="1:19" x14ac:dyDescent="0.25">
      <c r="A522" s="12">
        <v>38330</v>
      </c>
      <c r="B522" s="14" t="s">
        <v>539</v>
      </c>
      <c r="C522" s="14"/>
      <c r="D522" s="14"/>
      <c r="E522" s="1">
        <v>28</v>
      </c>
      <c r="F522" s="1">
        <f t="shared" si="5"/>
        <v>33.25</v>
      </c>
      <c r="G522" s="1">
        <v>44</v>
      </c>
      <c r="H522" s="1">
        <f t="shared" si="6"/>
        <v>51.75</v>
      </c>
      <c r="I522" s="1">
        <v>75</v>
      </c>
      <c r="J522" s="1">
        <f t="shared" si="7"/>
        <v>72.25</v>
      </c>
      <c r="M522" s="1">
        <v>9</v>
      </c>
      <c r="P522" s="1">
        <v>6</v>
      </c>
      <c r="Q522" s="1">
        <v>10</v>
      </c>
      <c r="R522" s="1">
        <v>1</v>
      </c>
      <c r="S522" s="1">
        <v>49</v>
      </c>
    </row>
    <row r="523" spans="1:19" x14ac:dyDescent="0.25">
      <c r="A523" s="12">
        <v>38337</v>
      </c>
      <c r="B523" s="14" t="s">
        <v>540</v>
      </c>
      <c r="C523" s="14"/>
      <c r="D523" s="14"/>
      <c r="E523" s="1">
        <v>37</v>
      </c>
      <c r="F523" s="1">
        <f t="shared" si="5"/>
        <v>34</v>
      </c>
      <c r="G523" s="1">
        <v>54</v>
      </c>
      <c r="H523" s="1">
        <f t="shared" si="6"/>
        <v>50</v>
      </c>
      <c r="I523" s="1">
        <v>75</v>
      </c>
      <c r="J523" s="1">
        <f t="shared" si="7"/>
        <v>70.75</v>
      </c>
      <c r="M523" s="1">
        <v>9</v>
      </c>
      <c r="P523" s="1">
        <v>4</v>
      </c>
      <c r="Q523" s="1">
        <v>7</v>
      </c>
      <c r="R523" s="1">
        <v>2</v>
      </c>
      <c r="S523" s="1">
        <v>50</v>
      </c>
    </row>
    <row r="524" spans="1:19" x14ac:dyDescent="0.25">
      <c r="A524" s="12">
        <v>38344</v>
      </c>
      <c r="B524" s="14" t="s">
        <v>541</v>
      </c>
      <c r="C524" s="14"/>
      <c r="D524" s="14"/>
      <c r="E524" s="1">
        <v>37</v>
      </c>
      <c r="F524" s="1">
        <f t="shared" si="5"/>
        <v>33.75</v>
      </c>
      <c r="G524" s="1">
        <v>52</v>
      </c>
      <c r="H524" s="1">
        <f t="shared" si="6"/>
        <v>46</v>
      </c>
      <c r="I524" s="1">
        <v>80</v>
      </c>
      <c r="J524" s="1">
        <f t="shared" si="7"/>
        <v>64.5</v>
      </c>
      <c r="M524" s="1">
        <v>9</v>
      </c>
      <c r="P524" s="1">
        <v>4</v>
      </c>
      <c r="Q524" s="1">
        <v>6</v>
      </c>
      <c r="R524" s="1">
        <v>0</v>
      </c>
      <c r="S524" s="1">
        <v>51</v>
      </c>
    </row>
    <row r="525" spans="1:19" x14ac:dyDescent="0.25">
      <c r="A525" s="12">
        <v>38351</v>
      </c>
      <c r="B525" s="14" t="s">
        <v>542</v>
      </c>
      <c r="C525" s="14"/>
      <c r="D525" s="14"/>
      <c r="E525" s="1">
        <v>37</v>
      </c>
      <c r="F525" s="1">
        <f t="shared" si="5"/>
        <v>35.75</v>
      </c>
      <c r="G525" s="1">
        <v>44</v>
      </c>
      <c r="H525" s="1">
        <f t="shared" si="6"/>
        <v>42.75</v>
      </c>
      <c r="I525" s="1">
        <v>72</v>
      </c>
      <c r="J525" s="1">
        <f t="shared" si="7"/>
        <v>63</v>
      </c>
      <c r="M525" s="1">
        <v>10</v>
      </c>
      <c r="P525" s="1">
        <v>5</v>
      </c>
      <c r="Q525" s="1">
        <v>0</v>
      </c>
      <c r="R525" s="1">
        <v>0</v>
      </c>
      <c r="S525" s="1">
        <v>52</v>
      </c>
    </row>
    <row r="526" spans="1:19" x14ac:dyDescent="0.25">
      <c r="A526" s="12">
        <v>38358</v>
      </c>
      <c r="B526" s="14" t="s">
        <v>543</v>
      </c>
      <c r="C526" s="14"/>
      <c r="D526" s="14"/>
      <c r="E526" s="1">
        <v>40</v>
      </c>
      <c r="F526" s="1">
        <f t="shared" si="5"/>
        <v>41.5</v>
      </c>
      <c r="G526" s="1">
        <v>41</v>
      </c>
      <c r="H526" s="1">
        <f t="shared" si="6"/>
        <v>53.25</v>
      </c>
      <c r="I526" s="1">
        <v>75</v>
      </c>
      <c r="J526" s="1">
        <f t="shared" si="7"/>
        <v>72.25</v>
      </c>
      <c r="M526" s="1">
        <v>10</v>
      </c>
      <c r="P526" s="1">
        <v>6</v>
      </c>
      <c r="Q526" s="1">
        <v>3</v>
      </c>
      <c r="R526" s="1">
        <v>3</v>
      </c>
      <c r="S526" s="1">
        <v>1</v>
      </c>
    </row>
    <row r="527" spans="1:19" x14ac:dyDescent="0.25">
      <c r="A527" s="12">
        <v>38365</v>
      </c>
      <c r="B527" s="14" t="s">
        <v>544</v>
      </c>
      <c r="C527" s="14"/>
      <c r="D527" s="14"/>
      <c r="E527" s="1">
        <v>43</v>
      </c>
      <c r="F527" s="1">
        <f t="shared" si="5"/>
        <v>38</v>
      </c>
      <c r="G527" s="1">
        <v>42</v>
      </c>
      <c r="H527" s="1">
        <f t="shared" si="6"/>
        <v>55</v>
      </c>
      <c r="I527" s="1">
        <v>72</v>
      </c>
      <c r="J527" s="1">
        <f t="shared" si="7"/>
        <v>72.5</v>
      </c>
      <c r="M527" s="1">
        <v>13</v>
      </c>
      <c r="P527" s="1">
        <v>8</v>
      </c>
      <c r="Q527" s="1">
        <v>5</v>
      </c>
      <c r="R527" s="1">
        <v>1</v>
      </c>
      <c r="S527" s="1">
        <v>2</v>
      </c>
    </row>
    <row r="528" spans="1:19" x14ac:dyDescent="0.25">
      <c r="A528" s="12">
        <v>38372</v>
      </c>
      <c r="B528" s="14" t="s">
        <v>545</v>
      </c>
      <c r="C528" s="14"/>
      <c r="D528" s="14"/>
      <c r="E528" s="1">
        <v>40</v>
      </c>
      <c r="F528" s="1">
        <f t="shared" si="5"/>
        <v>36.5</v>
      </c>
      <c r="G528" s="1">
        <v>56</v>
      </c>
      <c r="H528" s="1">
        <f t="shared" si="6"/>
        <v>57</v>
      </c>
      <c r="I528" s="1">
        <v>76</v>
      </c>
      <c r="J528" s="1">
        <f t="shared" si="7"/>
        <v>75.25</v>
      </c>
      <c r="M528" s="1">
        <v>13</v>
      </c>
      <c r="P528" s="1">
        <v>10</v>
      </c>
      <c r="Q528" s="1">
        <v>8</v>
      </c>
      <c r="R528" s="1">
        <v>0</v>
      </c>
      <c r="S528" s="1">
        <v>3</v>
      </c>
    </row>
    <row r="529" spans="1:19" x14ac:dyDescent="0.25">
      <c r="A529" s="12">
        <v>38379</v>
      </c>
      <c r="B529" s="14" t="s">
        <v>546</v>
      </c>
      <c r="C529" s="14"/>
      <c r="D529" s="14"/>
      <c r="E529" s="1">
        <v>36</v>
      </c>
      <c r="F529" s="1">
        <f t="shared" si="5"/>
        <v>39.75</v>
      </c>
      <c r="G529" s="1">
        <v>47</v>
      </c>
      <c r="H529" s="1">
        <f t="shared" si="6"/>
        <v>58.75</v>
      </c>
      <c r="I529" s="1">
        <v>61</v>
      </c>
      <c r="J529" s="1">
        <f t="shared" si="7"/>
        <v>72.25</v>
      </c>
      <c r="M529" s="1">
        <v>14</v>
      </c>
      <c r="P529" s="1">
        <v>0</v>
      </c>
      <c r="Q529" s="1">
        <v>1</v>
      </c>
      <c r="R529" s="1">
        <v>0</v>
      </c>
      <c r="S529" s="1">
        <v>4</v>
      </c>
    </row>
    <row r="530" spans="1:19" x14ac:dyDescent="0.25">
      <c r="A530" s="12">
        <v>38386</v>
      </c>
      <c r="B530" s="14" t="s">
        <v>547</v>
      </c>
      <c r="C530" s="14"/>
      <c r="D530" s="14"/>
      <c r="E530" s="1">
        <v>42</v>
      </c>
      <c r="F530" s="1">
        <f t="shared" si="5"/>
        <v>42.5</v>
      </c>
      <c r="G530" s="1">
        <v>33</v>
      </c>
      <c r="H530" s="1">
        <f t="shared" si="6"/>
        <v>54.25</v>
      </c>
      <c r="I530" s="1">
        <v>58</v>
      </c>
      <c r="J530" s="1">
        <f t="shared" si="7"/>
        <v>65.25</v>
      </c>
      <c r="M530" s="1">
        <v>10</v>
      </c>
      <c r="P530" s="1">
        <v>12</v>
      </c>
      <c r="Q530" s="1">
        <v>2</v>
      </c>
      <c r="R530" s="1">
        <v>1</v>
      </c>
      <c r="S530" s="1">
        <v>5</v>
      </c>
    </row>
    <row r="531" spans="1:19" x14ac:dyDescent="0.25">
      <c r="A531" s="12">
        <v>38393</v>
      </c>
      <c r="B531" s="14" t="s">
        <v>548</v>
      </c>
      <c r="C531" s="14"/>
      <c r="D531" s="14"/>
      <c r="E531" s="1">
        <v>38</v>
      </c>
      <c r="F531" s="1">
        <f t="shared" si="5"/>
        <v>45.5</v>
      </c>
      <c r="G531" s="1">
        <v>37</v>
      </c>
      <c r="H531" s="1">
        <f t="shared" si="6"/>
        <v>52.75</v>
      </c>
      <c r="I531" s="1">
        <v>66</v>
      </c>
      <c r="J531" s="1">
        <f t="shared" si="7"/>
        <v>68</v>
      </c>
      <c r="M531" s="1">
        <v>10</v>
      </c>
      <c r="P531" s="1">
        <v>8</v>
      </c>
      <c r="Q531" s="1">
        <v>8</v>
      </c>
      <c r="R531" s="1">
        <v>0</v>
      </c>
      <c r="S531" s="1">
        <v>6</v>
      </c>
    </row>
    <row r="532" spans="1:19" x14ac:dyDescent="0.25">
      <c r="A532" s="12">
        <v>38400</v>
      </c>
      <c r="B532" s="14" t="s">
        <v>549</v>
      </c>
      <c r="C532" s="14"/>
      <c r="D532" s="14"/>
      <c r="E532" s="1">
        <v>40</v>
      </c>
      <c r="F532" s="1">
        <f t="shared" si="5"/>
        <v>48.25</v>
      </c>
      <c r="G532" s="1">
        <v>42</v>
      </c>
      <c r="H532" s="1">
        <f t="shared" si="6"/>
        <v>54.25</v>
      </c>
      <c r="I532" s="1">
        <v>56</v>
      </c>
      <c r="J532" s="1">
        <f t="shared" si="7"/>
        <v>69.75</v>
      </c>
      <c r="M532" s="1">
        <v>9</v>
      </c>
      <c r="P532" s="1">
        <v>12</v>
      </c>
      <c r="Q532" s="1">
        <v>4</v>
      </c>
      <c r="R532" s="1">
        <v>3</v>
      </c>
      <c r="S532" s="1">
        <v>7</v>
      </c>
    </row>
    <row r="533" spans="1:19" x14ac:dyDescent="0.25">
      <c r="A533" s="12">
        <v>38407</v>
      </c>
      <c r="B533" s="14" t="s">
        <v>550</v>
      </c>
      <c r="C533" s="14"/>
      <c r="D533" s="14"/>
      <c r="E533" s="1">
        <v>35</v>
      </c>
      <c r="F533" s="1">
        <f t="shared" si="5"/>
        <v>42.25</v>
      </c>
      <c r="G533" s="1">
        <v>50</v>
      </c>
      <c r="H533" s="1">
        <f t="shared" si="6"/>
        <v>50.25</v>
      </c>
      <c r="I533" s="1">
        <v>55</v>
      </c>
      <c r="J533" s="1">
        <f t="shared" si="7"/>
        <v>69.25</v>
      </c>
      <c r="M533" s="1">
        <v>7</v>
      </c>
      <c r="P533" s="2" t="s">
        <v>551</v>
      </c>
      <c r="Q533" s="1">
        <v>9</v>
      </c>
      <c r="R533" s="2" t="s">
        <v>551</v>
      </c>
      <c r="S533" s="1">
        <v>8</v>
      </c>
    </row>
    <row r="534" spans="1:19" x14ac:dyDescent="0.25">
      <c r="A534" s="12">
        <v>38414</v>
      </c>
      <c r="B534" s="14" t="s">
        <v>552</v>
      </c>
      <c r="C534" s="14"/>
      <c r="D534" s="14"/>
      <c r="E534" s="1">
        <v>31</v>
      </c>
      <c r="F534" s="1">
        <f t="shared" si="5"/>
        <v>42</v>
      </c>
      <c r="G534" s="1">
        <v>41</v>
      </c>
      <c r="H534" s="1">
        <f t="shared" si="6"/>
        <v>57.5</v>
      </c>
      <c r="I534" s="1">
        <v>61</v>
      </c>
      <c r="J534" s="1">
        <f t="shared" si="7"/>
        <v>62.25</v>
      </c>
      <c r="M534" s="1">
        <v>7</v>
      </c>
      <c r="P534" s="1">
        <v>5</v>
      </c>
      <c r="Q534" s="1">
        <v>5</v>
      </c>
      <c r="R534" s="1">
        <v>0</v>
      </c>
      <c r="S534" s="1">
        <v>9</v>
      </c>
    </row>
    <row r="535" spans="1:19" x14ac:dyDescent="0.25">
      <c r="A535" s="12">
        <v>38421</v>
      </c>
      <c r="B535" s="14" t="s">
        <v>553</v>
      </c>
      <c r="C535" s="14"/>
      <c r="D535" s="14"/>
      <c r="E535" s="1">
        <v>29</v>
      </c>
      <c r="F535" s="1">
        <f t="shared" si="5"/>
        <v>35.75</v>
      </c>
      <c r="G535" s="1">
        <v>39</v>
      </c>
      <c r="H535" s="1">
        <f t="shared" si="6"/>
        <v>53.25</v>
      </c>
      <c r="I535" s="1">
        <v>53</v>
      </c>
      <c r="J535" s="1">
        <f t="shared" si="7"/>
        <v>62.25</v>
      </c>
      <c r="M535" s="1">
        <v>6</v>
      </c>
      <c r="P535" s="1">
        <v>6</v>
      </c>
      <c r="Q535" s="1">
        <v>7</v>
      </c>
      <c r="R535" s="1">
        <v>6</v>
      </c>
      <c r="S535" s="1">
        <v>10</v>
      </c>
    </row>
    <row r="536" spans="1:19" x14ac:dyDescent="0.25">
      <c r="A536" s="12">
        <v>38428</v>
      </c>
      <c r="B536" s="14" t="s">
        <v>554</v>
      </c>
      <c r="C536" s="14"/>
      <c r="D536" s="14"/>
      <c r="E536" s="1">
        <v>41</v>
      </c>
      <c r="F536" s="1">
        <f t="shared" si="5"/>
        <v>34.75</v>
      </c>
      <c r="G536" s="1">
        <v>40</v>
      </c>
      <c r="H536" s="1">
        <f t="shared" si="6"/>
        <v>48.5</v>
      </c>
      <c r="I536" s="1">
        <v>49</v>
      </c>
      <c r="J536" s="1">
        <f t="shared" si="7"/>
        <v>58.25</v>
      </c>
      <c r="M536" s="1">
        <v>9</v>
      </c>
      <c r="P536" s="1">
        <v>9</v>
      </c>
      <c r="Q536" s="1">
        <v>7</v>
      </c>
      <c r="R536" s="1">
        <v>0</v>
      </c>
      <c r="S536" s="1">
        <v>11</v>
      </c>
    </row>
    <row r="537" spans="1:19" x14ac:dyDescent="0.25">
      <c r="A537" s="12">
        <v>38435</v>
      </c>
      <c r="B537" s="14" t="s">
        <v>555</v>
      </c>
      <c r="C537" s="14"/>
      <c r="D537" s="14"/>
      <c r="E537" s="1">
        <v>19</v>
      </c>
      <c r="F537" s="1">
        <f t="shared" ref="F537:F586" si="8">AVERAGE(E485,E433,E381,E329)</f>
        <v>30.75</v>
      </c>
      <c r="G537" s="1">
        <v>52</v>
      </c>
      <c r="H537" s="1">
        <f t="shared" ref="H537:H586" si="9">AVERAGE(G485,G433,G381,G329)</f>
        <v>47</v>
      </c>
      <c r="I537" s="1">
        <v>50</v>
      </c>
      <c r="J537" s="1">
        <f t="shared" ref="J537:J586" si="10">AVERAGE(I485,I433,I381,I329)</f>
        <v>60.75</v>
      </c>
      <c r="M537" s="1">
        <v>11</v>
      </c>
      <c r="P537" s="1">
        <v>6</v>
      </c>
      <c r="Q537" s="1">
        <v>7</v>
      </c>
      <c r="R537" s="1">
        <v>1</v>
      </c>
      <c r="S537" s="1">
        <v>12</v>
      </c>
    </row>
    <row r="538" spans="1:19" x14ac:dyDescent="0.25">
      <c r="A538" s="12">
        <v>38442</v>
      </c>
      <c r="B538" s="14" t="s">
        <v>556</v>
      </c>
      <c r="C538" s="14"/>
      <c r="D538" s="14"/>
      <c r="E538" s="1">
        <v>17</v>
      </c>
      <c r="F538" s="1">
        <f t="shared" si="8"/>
        <v>24.5</v>
      </c>
      <c r="G538" s="1">
        <v>38</v>
      </c>
      <c r="H538" s="1">
        <f t="shared" si="9"/>
        <v>44.25</v>
      </c>
      <c r="I538" s="1">
        <v>47</v>
      </c>
      <c r="J538" s="1">
        <f t="shared" si="10"/>
        <v>55.75</v>
      </c>
      <c r="M538" s="1">
        <v>13</v>
      </c>
      <c r="P538" s="1">
        <v>3</v>
      </c>
      <c r="Q538" s="1">
        <v>8</v>
      </c>
      <c r="R538" s="1">
        <v>0</v>
      </c>
      <c r="S538" s="1">
        <v>13</v>
      </c>
    </row>
    <row r="539" spans="1:19" x14ac:dyDescent="0.25">
      <c r="A539" s="12">
        <v>38449</v>
      </c>
      <c r="B539" s="14" t="s">
        <v>557</v>
      </c>
      <c r="C539" s="14"/>
      <c r="D539" s="14"/>
      <c r="E539" s="1">
        <v>16</v>
      </c>
      <c r="F539" s="1">
        <f t="shared" si="8"/>
        <v>29.25</v>
      </c>
      <c r="G539" s="1">
        <v>32</v>
      </c>
      <c r="H539" s="1">
        <f t="shared" si="9"/>
        <v>49.75</v>
      </c>
      <c r="I539" s="1">
        <v>51</v>
      </c>
      <c r="J539" s="1">
        <f t="shared" si="10"/>
        <v>49.25</v>
      </c>
      <c r="M539" s="1">
        <v>7</v>
      </c>
      <c r="P539" s="1">
        <v>5</v>
      </c>
      <c r="Q539" s="1">
        <v>4</v>
      </c>
      <c r="R539" s="1">
        <v>1</v>
      </c>
      <c r="S539" s="1">
        <v>14</v>
      </c>
    </row>
    <row r="540" spans="1:19" x14ac:dyDescent="0.25">
      <c r="A540" s="12">
        <v>38456</v>
      </c>
      <c r="B540" s="14" t="s">
        <v>558</v>
      </c>
      <c r="C540" s="14"/>
      <c r="D540" s="14"/>
      <c r="E540" s="1">
        <v>20</v>
      </c>
      <c r="F540" s="1">
        <f t="shared" si="8"/>
        <v>20.25</v>
      </c>
      <c r="G540" s="1">
        <v>34</v>
      </c>
      <c r="H540" s="1">
        <f t="shared" si="9"/>
        <v>39</v>
      </c>
      <c r="I540" s="1">
        <v>54</v>
      </c>
      <c r="J540" s="1">
        <f t="shared" si="10"/>
        <v>50.75</v>
      </c>
      <c r="M540" s="1">
        <v>10</v>
      </c>
      <c r="P540" s="1">
        <v>4</v>
      </c>
      <c r="Q540" s="1">
        <v>5</v>
      </c>
      <c r="R540" s="1">
        <v>2</v>
      </c>
      <c r="S540" s="1">
        <v>15</v>
      </c>
    </row>
    <row r="541" spans="1:19" x14ac:dyDescent="0.25">
      <c r="A541" s="12">
        <v>38463</v>
      </c>
      <c r="B541" s="14" t="s">
        <v>559</v>
      </c>
      <c r="C541" s="14"/>
      <c r="D541" s="14"/>
      <c r="E541" s="1">
        <v>26</v>
      </c>
      <c r="F541" s="1">
        <f t="shared" si="8"/>
        <v>18</v>
      </c>
      <c r="G541" s="1">
        <v>37</v>
      </c>
      <c r="H541" s="1">
        <f t="shared" si="9"/>
        <v>40.5</v>
      </c>
      <c r="I541" s="1">
        <v>33</v>
      </c>
      <c r="J541" s="1">
        <f t="shared" si="10"/>
        <v>49</v>
      </c>
      <c r="M541" s="1">
        <v>6</v>
      </c>
      <c r="P541" s="1">
        <v>4</v>
      </c>
      <c r="Q541" s="1">
        <v>7</v>
      </c>
      <c r="R541" s="1">
        <v>2</v>
      </c>
      <c r="S541" s="1">
        <v>16</v>
      </c>
    </row>
    <row r="542" spans="1:19" x14ac:dyDescent="0.25">
      <c r="A542" s="12">
        <v>38470</v>
      </c>
      <c r="B542" s="14" t="s">
        <v>560</v>
      </c>
      <c r="C542" s="14"/>
      <c r="D542" s="14"/>
      <c r="E542" s="1">
        <v>31</v>
      </c>
      <c r="F542" s="1">
        <f t="shared" si="8"/>
        <v>20.5</v>
      </c>
      <c r="G542" s="1">
        <v>39</v>
      </c>
      <c r="H542" s="1">
        <f t="shared" si="9"/>
        <v>41.75</v>
      </c>
      <c r="I542" s="1">
        <v>44</v>
      </c>
      <c r="J542" s="1">
        <f t="shared" si="10"/>
        <v>45.75</v>
      </c>
      <c r="M542" s="1">
        <v>7</v>
      </c>
      <c r="P542" s="1">
        <v>5</v>
      </c>
      <c r="Q542" s="1">
        <v>6</v>
      </c>
      <c r="R542" s="1">
        <v>3</v>
      </c>
      <c r="S542" s="1">
        <v>17</v>
      </c>
    </row>
    <row r="543" spans="1:19" x14ac:dyDescent="0.25">
      <c r="A543" s="12">
        <v>38477</v>
      </c>
      <c r="B543" s="14" t="s">
        <v>561</v>
      </c>
      <c r="C543" s="14"/>
      <c r="D543" s="14"/>
      <c r="E543" s="1">
        <v>15</v>
      </c>
      <c r="F543" s="1">
        <f t="shared" si="8"/>
        <v>17.75</v>
      </c>
      <c r="G543" s="1">
        <v>32</v>
      </c>
      <c r="H543" s="1">
        <f t="shared" si="9"/>
        <v>38</v>
      </c>
      <c r="I543" s="1">
        <v>44</v>
      </c>
      <c r="J543" s="1">
        <f t="shared" si="10"/>
        <v>56.5</v>
      </c>
      <c r="M543" s="1">
        <v>6</v>
      </c>
      <c r="P543" s="1">
        <v>7</v>
      </c>
      <c r="Q543" s="1">
        <v>8</v>
      </c>
      <c r="R543" s="1">
        <v>2</v>
      </c>
      <c r="S543" s="1">
        <v>18</v>
      </c>
    </row>
    <row r="544" spans="1:19" x14ac:dyDescent="0.25">
      <c r="A544" s="12">
        <v>38484</v>
      </c>
      <c r="B544" s="14" t="s">
        <v>562</v>
      </c>
      <c r="C544" s="14"/>
      <c r="D544" s="14"/>
      <c r="E544" s="1">
        <v>11</v>
      </c>
      <c r="F544" s="1">
        <f t="shared" si="8"/>
        <v>21.25</v>
      </c>
      <c r="G544" s="1">
        <v>29</v>
      </c>
      <c r="H544" s="1">
        <f t="shared" si="9"/>
        <v>42.25</v>
      </c>
      <c r="I544" s="1">
        <v>45</v>
      </c>
      <c r="J544" s="1">
        <f t="shared" si="10"/>
        <v>52.75</v>
      </c>
      <c r="M544" s="1">
        <v>7</v>
      </c>
      <c r="P544" s="1">
        <v>3</v>
      </c>
      <c r="Q544" s="1">
        <v>8</v>
      </c>
      <c r="R544" s="1">
        <v>1</v>
      </c>
      <c r="S544" s="1">
        <v>19</v>
      </c>
    </row>
    <row r="545" spans="1:19" x14ac:dyDescent="0.25">
      <c r="A545" s="12">
        <v>38491</v>
      </c>
      <c r="B545" s="14" t="s">
        <v>563</v>
      </c>
      <c r="C545" s="14"/>
      <c r="D545" s="14"/>
      <c r="E545" s="1">
        <v>17</v>
      </c>
      <c r="F545" s="1">
        <f t="shared" si="8"/>
        <v>22</v>
      </c>
      <c r="G545" s="1">
        <v>33</v>
      </c>
      <c r="H545" s="1">
        <f t="shared" si="9"/>
        <v>40.5</v>
      </c>
      <c r="I545" s="1">
        <v>50</v>
      </c>
      <c r="J545" s="1">
        <f t="shared" si="10"/>
        <v>49.25</v>
      </c>
      <c r="M545" s="1">
        <v>7</v>
      </c>
      <c r="P545" s="1">
        <v>5</v>
      </c>
      <c r="Q545" s="1">
        <v>5</v>
      </c>
      <c r="R545" s="1">
        <v>2</v>
      </c>
      <c r="S545" s="1">
        <v>20</v>
      </c>
    </row>
    <row r="546" spans="1:19" x14ac:dyDescent="0.25">
      <c r="A546" s="12">
        <v>38498</v>
      </c>
      <c r="B546" s="14" t="s">
        <v>564</v>
      </c>
      <c r="C546" s="14"/>
      <c r="D546" s="14"/>
      <c r="E546" s="1">
        <v>16</v>
      </c>
      <c r="F546" s="1">
        <f t="shared" si="8"/>
        <v>22.5</v>
      </c>
      <c r="G546" s="1">
        <v>35</v>
      </c>
      <c r="H546" s="1">
        <f t="shared" si="9"/>
        <v>34.5</v>
      </c>
      <c r="I546" s="1">
        <v>48</v>
      </c>
      <c r="J546" s="1">
        <f t="shared" si="10"/>
        <v>50.25</v>
      </c>
      <c r="M546" s="1">
        <v>7</v>
      </c>
      <c r="P546" s="1">
        <v>9</v>
      </c>
      <c r="Q546" s="1">
        <v>5</v>
      </c>
      <c r="R546" s="1">
        <v>2</v>
      </c>
      <c r="S546" s="1">
        <v>21</v>
      </c>
    </row>
    <row r="547" spans="1:19" x14ac:dyDescent="0.25">
      <c r="A547" s="12">
        <v>38505</v>
      </c>
      <c r="B547" s="14" t="s">
        <v>565</v>
      </c>
      <c r="C547" s="14"/>
      <c r="D547" s="14"/>
      <c r="E547" s="1">
        <v>20</v>
      </c>
      <c r="F547" s="1">
        <f t="shared" si="8"/>
        <v>27.5</v>
      </c>
      <c r="G547" s="1">
        <v>30</v>
      </c>
      <c r="H547" s="1">
        <f t="shared" si="9"/>
        <v>35</v>
      </c>
      <c r="I547" s="1">
        <v>44</v>
      </c>
      <c r="J547" s="1">
        <f t="shared" si="10"/>
        <v>50.25</v>
      </c>
      <c r="M547" s="1">
        <v>6</v>
      </c>
      <c r="P547" s="1">
        <v>12</v>
      </c>
      <c r="Q547" s="1">
        <v>0</v>
      </c>
      <c r="R547" s="1">
        <v>1</v>
      </c>
      <c r="S547" s="1">
        <v>22</v>
      </c>
    </row>
    <row r="548" spans="1:19" x14ac:dyDescent="0.25">
      <c r="A548" s="12">
        <v>38512</v>
      </c>
      <c r="B548" s="14" t="s">
        <v>566</v>
      </c>
      <c r="C548" s="14"/>
      <c r="D548" s="14"/>
      <c r="E548" s="1">
        <v>14</v>
      </c>
      <c r="F548" s="1">
        <f t="shared" si="8"/>
        <v>29</v>
      </c>
      <c r="G548" s="1">
        <v>32</v>
      </c>
      <c r="H548" s="1">
        <f t="shared" si="9"/>
        <v>38.5</v>
      </c>
      <c r="I548" s="1">
        <v>47</v>
      </c>
      <c r="J548" s="1">
        <f t="shared" si="10"/>
        <v>53.25</v>
      </c>
      <c r="M548" s="1">
        <v>6</v>
      </c>
      <c r="P548" s="1">
        <v>8</v>
      </c>
      <c r="Q548" s="1">
        <v>11</v>
      </c>
      <c r="R548" s="1">
        <v>1</v>
      </c>
      <c r="S548" s="1">
        <v>23</v>
      </c>
    </row>
    <row r="549" spans="1:19" x14ac:dyDescent="0.25">
      <c r="A549" s="12">
        <v>38519</v>
      </c>
      <c r="B549" s="14" t="s">
        <v>567</v>
      </c>
      <c r="C549" s="14"/>
      <c r="D549" s="14"/>
      <c r="E549" s="1">
        <v>14</v>
      </c>
      <c r="F549" s="1">
        <f t="shared" si="8"/>
        <v>24.75</v>
      </c>
      <c r="G549" s="1">
        <v>32</v>
      </c>
      <c r="H549" s="1">
        <f t="shared" si="9"/>
        <v>44</v>
      </c>
      <c r="I549" s="1">
        <v>51</v>
      </c>
      <c r="J549" s="1">
        <f t="shared" si="10"/>
        <v>52.75</v>
      </c>
      <c r="M549" s="1">
        <v>7</v>
      </c>
      <c r="P549" s="1">
        <v>4</v>
      </c>
      <c r="Q549" s="1">
        <v>10</v>
      </c>
      <c r="R549" s="1">
        <v>1</v>
      </c>
      <c r="S549" s="1">
        <v>24</v>
      </c>
    </row>
    <row r="550" spans="1:19" x14ac:dyDescent="0.25">
      <c r="A550" s="12">
        <v>38526</v>
      </c>
      <c r="B550" s="14" t="s">
        <v>568</v>
      </c>
      <c r="C550" s="14"/>
      <c r="D550" s="14"/>
      <c r="E550" s="1">
        <v>17</v>
      </c>
      <c r="F550" s="1">
        <f t="shared" si="8"/>
        <v>19.5</v>
      </c>
      <c r="G550" s="1">
        <v>39</v>
      </c>
      <c r="H550" s="1">
        <f t="shared" si="9"/>
        <v>41.25</v>
      </c>
      <c r="I550" s="1">
        <v>42</v>
      </c>
      <c r="J550" s="1">
        <f t="shared" si="10"/>
        <v>59.25</v>
      </c>
      <c r="M550" s="1">
        <v>6</v>
      </c>
      <c r="P550" s="1">
        <v>8</v>
      </c>
      <c r="Q550" s="1">
        <v>2</v>
      </c>
      <c r="R550" s="1">
        <v>2</v>
      </c>
      <c r="S550" s="1">
        <v>25</v>
      </c>
    </row>
    <row r="551" spans="1:19" x14ac:dyDescent="0.25">
      <c r="A551" s="12">
        <v>38533</v>
      </c>
      <c r="B551" s="14" t="s">
        <v>569</v>
      </c>
      <c r="C551" s="14"/>
      <c r="D551" s="14"/>
      <c r="E551" s="1">
        <v>18</v>
      </c>
      <c r="F551" s="1">
        <f t="shared" si="8"/>
        <v>30.25</v>
      </c>
      <c r="G551" s="1">
        <v>33</v>
      </c>
      <c r="H551" s="1">
        <f t="shared" si="9"/>
        <v>39.25</v>
      </c>
      <c r="I551" s="1">
        <v>45</v>
      </c>
      <c r="J551" s="1">
        <f t="shared" si="10"/>
        <v>55.25</v>
      </c>
      <c r="M551" s="1">
        <v>7</v>
      </c>
      <c r="P551" s="1">
        <v>3</v>
      </c>
      <c r="Q551" s="1">
        <v>7</v>
      </c>
      <c r="R551" s="1">
        <v>1</v>
      </c>
      <c r="S551" s="1">
        <v>26</v>
      </c>
    </row>
    <row r="552" spans="1:19" x14ac:dyDescent="0.25">
      <c r="A552" s="12">
        <v>38540</v>
      </c>
      <c r="B552" s="14" t="s">
        <v>570</v>
      </c>
      <c r="C552" s="14"/>
      <c r="D552" s="14"/>
      <c r="E552" s="1">
        <v>21</v>
      </c>
      <c r="F552" s="1">
        <f t="shared" si="8"/>
        <v>32.75</v>
      </c>
      <c r="G552" s="1">
        <v>30</v>
      </c>
      <c r="H552" s="1">
        <f t="shared" si="9"/>
        <v>47.5</v>
      </c>
      <c r="I552" s="1">
        <v>51</v>
      </c>
      <c r="J552" s="1">
        <f t="shared" si="10"/>
        <v>58</v>
      </c>
      <c r="M552" s="1">
        <v>10</v>
      </c>
      <c r="P552" s="1">
        <v>9</v>
      </c>
      <c r="Q552" s="1">
        <v>2</v>
      </c>
      <c r="R552" s="1">
        <v>0</v>
      </c>
      <c r="S552" s="1">
        <v>27</v>
      </c>
    </row>
    <row r="553" spans="1:19" x14ac:dyDescent="0.25">
      <c r="A553" s="12">
        <v>38547</v>
      </c>
      <c r="B553" s="14" t="s">
        <v>571</v>
      </c>
      <c r="C553" s="14"/>
      <c r="D553" s="14"/>
      <c r="E553" s="1">
        <v>25</v>
      </c>
      <c r="F553" s="1">
        <f t="shared" si="8"/>
        <v>27.25</v>
      </c>
      <c r="G553" s="1">
        <v>30</v>
      </c>
      <c r="H553" s="1">
        <f t="shared" si="9"/>
        <v>47.5</v>
      </c>
      <c r="I553" s="1">
        <v>48</v>
      </c>
      <c r="J553" s="1">
        <f t="shared" si="10"/>
        <v>55.5</v>
      </c>
      <c r="M553" s="1">
        <v>11</v>
      </c>
      <c r="P553" s="1">
        <v>7</v>
      </c>
      <c r="Q553" s="1">
        <v>6</v>
      </c>
      <c r="R553" s="1">
        <v>1</v>
      </c>
      <c r="S553" s="1">
        <v>28</v>
      </c>
    </row>
    <row r="554" spans="1:19" x14ac:dyDescent="0.25">
      <c r="A554" s="12">
        <v>38554</v>
      </c>
      <c r="B554" s="14" t="s">
        <v>572</v>
      </c>
      <c r="C554" s="14"/>
      <c r="D554" s="14"/>
      <c r="E554" s="1">
        <v>22</v>
      </c>
      <c r="F554" s="1">
        <f t="shared" si="8"/>
        <v>27.25</v>
      </c>
      <c r="G554" s="1">
        <v>47</v>
      </c>
      <c r="H554" s="1">
        <f t="shared" si="9"/>
        <v>45.25</v>
      </c>
      <c r="I554" s="1">
        <v>50</v>
      </c>
      <c r="J554" s="1">
        <f t="shared" si="10"/>
        <v>61.5</v>
      </c>
      <c r="M554" s="1">
        <v>10</v>
      </c>
      <c r="P554" s="1">
        <v>4</v>
      </c>
      <c r="Q554" s="1">
        <v>7</v>
      </c>
      <c r="R554" s="1">
        <v>1</v>
      </c>
      <c r="S554" s="1">
        <v>29</v>
      </c>
    </row>
    <row r="555" spans="1:19" x14ac:dyDescent="0.25">
      <c r="A555" s="12">
        <v>38561</v>
      </c>
      <c r="B555" s="14" t="s">
        <v>573</v>
      </c>
      <c r="C555" s="14"/>
      <c r="D555" s="14"/>
      <c r="E555" s="1">
        <v>20</v>
      </c>
      <c r="F555" s="1">
        <f t="shared" si="8"/>
        <v>23</v>
      </c>
      <c r="G555" s="1">
        <v>40</v>
      </c>
      <c r="H555" s="1">
        <f t="shared" si="9"/>
        <v>47</v>
      </c>
      <c r="I555" s="1">
        <v>49</v>
      </c>
      <c r="J555" s="1">
        <f t="shared" si="10"/>
        <v>62.25</v>
      </c>
      <c r="M555" s="1">
        <v>13</v>
      </c>
      <c r="P555" s="1">
        <v>6</v>
      </c>
      <c r="Q555" s="1">
        <v>3</v>
      </c>
      <c r="R555" s="1">
        <v>1</v>
      </c>
      <c r="S555" s="1">
        <v>30</v>
      </c>
    </row>
    <row r="556" spans="1:19" x14ac:dyDescent="0.25">
      <c r="A556" s="12">
        <v>38568</v>
      </c>
      <c r="B556" s="14" t="s">
        <v>574</v>
      </c>
      <c r="C556" s="14"/>
      <c r="D556" s="14"/>
      <c r="E556" s="1">
        <v>16</v>
      </c>
      <c r="F556" s="1">
        <f t="shared" si="8"/>
        <v>27.75</v>
      </c>
      <c r="G556" s="1">
        <v>43</v>
      </c>
      <c r="H556" s="1">
        <f t="shared" si="9"/>
        <v>48.5</v>
      </c>
      <c r="I556" s="1">
        <v>48</v>
      </c>
      <c r="J556" s="1">
        <f t="shared" si="10"/>
        <v>64.75</v>
      </c>
      <c r="M556" s="1">
        <v>6</v>
      </c>
      <c r="P556" s="1">
        <v>2</v>
      </c>
      <c r="Q556" s="1">
        <v>7</v>
      </c>
      <c r="R556" s="1">
        <v>0</v>
      </c>
      <c r="S556" s="1">
        <v>31</v>
      </c>
    </row>
    <row r="557" spans="1:19" x14ac:dyDescent="0.25">
      <c r="A557" s="12">
        <v>38575</v>
      </c>
      <c r="B557" s="14" t="s">
        <v>575</v>
      </c>
      <c r="C557" s="14"/>
      <c r="D557" s="14"/>
      <c r="E557" s="1">
        <v>18</v>
      </c>
      <c r="F557" s="1">
        <f t="shared" si="8"/>
        <v>27.75</v>
      </c>
      <c r="G557" s="1">
        <v>40</v>
      </c>
      <c r="H557" s="1">
        <f t="shared" si="9"/>
        <v>43.25</v>
      </c>
      <c r="I557" s="1">
        <v>50</v>
      </c>
      <c r="J557" s="1">
        <f t="shared" si="10"/>
        <v>58.5</v>
      </c>
      <c r="M557" s="1">
        <v>2</v>
      </c>
      <c r="P557" s="1">
        <v>6</v>
      </c>
      <c r="Q557" s="1">
        <v>3</v>
      </c>
      <c r="R557" s="1">
        <v>1</v>
      </c>
      <c r="S557" s="1">
        <v>32</v>
      </c>
    </row>
    <row r="558" spans="1:19" x14ac:dyDescent="0.25">
      <c r="A558" s="12">
        <v>38582</v>
      </c>
      <c r="B558" s="14" t="s">
        <v>576</v>
      </c>
      <c r="C558" s="14"/>
      <c r="D558" s="14"/>
      <c r="E558" s="1">
        <v>22</v>
      </c>
      <c r="F558" s="1">
        <f t="shared" si="8"/>
        <v>31.75</v>
      </c>
      <c r="G558" s="1">
        <v>39</v>
      </c>
      <c r="H558" s="1">
        <f t="shared" si="9"/>
        <v>51</v>
      </c>
      <c r="I558" s="1">
        <v>46</v>
      </c>
      <c r="J558" s="1">
        <f t="shared" si="10"/>
        <v>59</v>
      </c>
      <c r="M558" s="1">
        <v>9</v>
      </c>
      <c r="P558" s="1">
        <v>5</v>
      </c>
      <c r="Q558" s="1">
        <v>6</v>
      </c>
      <c r="R558" s="1">
        <v>1</v>
      </c>
      <c r="S558" s="1">
        <v>33</v>
      </c>
    </row>
    <row r="559" spans="1:19" x14ac:dyDescent="0.25">
      <c r="A559" s="12">
        <v>38589</v>
      </c>
      <c r="B559" s="14" t="s">
        <v>577</v>
      </c>
      <c r="C559" s="14"/>
      <c r="D559" s="14"/>
      <c r="E559" s="1">
        <v>23</v>
      </c>
      <c r="F559" s="1">
        <f t="shared" si="8"/>
        <v>28</v>
      </c>
      <c r="G559" s="1">
        <v>36</v>
      </c>
      <c r="H559" s="1">
        <f t="shared" si="9"/>
        <v>47.75</v>
      </c>
      <c r="I559" s="1">
        <v>49</v>
      </c>
      <c r="J559" s="1">
        <f t="shared" si="10"/>
        <v>55.75</v>
      </c>
      <c r="M559" s="1">
        <v>7</v>
      </c>
      <c r="P559" s="1">
        <v>6</v>
      </c>
      <c r="Q559" s="1">
        <v>3</v>
      </c>
      <c r="R559" s="1">
        <v>1</v>
      </c>
      <c r="S559" s="1">
        <v>34</v>
      </c>
    </row>
    <row r="560" spans="1:19" x14ac:dyDescent="0.25">
      <c r="A560" s="12">
        <v>38596</v>
      </c>
      <c r="B560" s="14" t="s">
        <v>578</v>
      </c>
      <c r="C560" s="14"/>
      <c r="D560" s="14"/>
      <c r="E560" s="1">
        <v>12</v>
      </c>
      <c r="F560" s="1">
        <f t="shared" si="8"/>
        <v>27.75</v>
      </c>
      <c r="G560" s="1">
        <v>10</v>
      </c>
      <c r="H560" s="1">
        <f t="shared" si="9"/>
        <v>45.5</v>
      </c>
      <c r="I560" s="1">
        <v>18</v>
      </c>
      <c r="J560" s="1">
        <f t="shared" si="10"/>
        <v>56.5</v>
      </c>
      <c r="M560" s="1">
        <v>11</v>
      </c>
      <c r="P560" s="1">
        <v>7</v>
      </c>
      <c r="Q560" s="1">
        <v>5</v>
      </c>
      <c r="R560" s="1">
        <v>0</v>
      </c>
      <c r="S560" s="1">
        <v>35</v>
      </c>
    </row>
    <row r="561" spans="1:22" x14ac:dyDescent="0.25">
      <c r="A561" s="12">
        <v>38603</v>
      </c>
      <c r="B561" s="14" t="s">
        <v>579</v>
      </c>
      <c r="C561" s="14"/>
      <c r="D561" s="14"/>
      <c r="E561" s="1">
        <v>18</v>
      </c>
      <c r="F561" s="1">
        <f t="shared" si="8"/>
        <v>29.75</v>
      </c>
      <c r="G561" s="1">
        <v>16</v>
      </c>
      <c r="H561" s="1">
        <f t="shared" si="9"/>
        <v>45</v>
      </c>
      <c r="I561" s="1">
        <v>24</v>
      </c>
      <c r="J561" s="1">
        <f t="shared" si="10"/>
        <v>55</v>
      </c>
      <c r="M561" s="1">
        <v>11</v>
      </c>
      <c r="P561" s="1">
        <v>8</v>
      </c>
      <c r="Q561" s="1">
        <v>5</v>
      </c>
      <c r="R561" s="1">
        <v>1</v>
      </c>
      <c r="S561" s="1">
        <v>36</v>
      </c>
    </row>
    <row r="562" spans="1:22" x14ac:dyDescent="0.25">
      <c r="A562" s="12">
        <v>38610</v>
      </c>
      <c r="B562" s="14" t="s">
        <v>580</v>
      </c>
      <c r="C562" s="14"/>
      <c r="D562" s="14"/>
      <c r="E562" s="1">
        <v>26</v>
      </c>
      <c r="F562" s="1">
        <f t="shared" si="8"/>
        <v>28</v>
      </c>
      <c r="G562" s="1">
        <v>45</v>
      </c>
      <c r="H562" s="1">
        <f t="shared" si="9"/>
        <v>44.25</v>
      </c>
      <c r="I562" s="1">
        <v>45</v>
      </c>
      <c r="J562" s="1">
        <f t="shared" si="10"/>
        <v>58</v>
      </c>
      <c r="M562" s="1">
        <v>11</v>
      </c>
      <c r="P562" s="1">
        <v>10</v>
      </c>
      <c r="Q562" s="1">
        <v>5</v>
      </c>
      <c r="R562" s="1">
        <v>0</v>
      </c>
      <c r="S562" s="1">
        <v>37</v>
      </c>
    </row>
    <row r="563" spans="1:22" x14ac:dyDescent="0.25">
      <c r="A563" s="12">
        <v>38617</v>
      </c>
      <c r="B563" s="14" t="s">
        <v>581</v>
      </c>
      <c r="C563" s="14"/>
      <c r="D563" s="14"/>
      <c r="E563" s="1">
        <v>18</v>
      </c>
      <c r="F563" s="1">
        <f t="shared" si="8"/>
        <v>28</v>
      </c>
      <c r="G563" s="1">
        <v>24</v>
      </c>
      <c r="H563" s="1">
        <f t="shared" si="9"/>
        <v>45.25</v>
      </c>
      <c r="I563" s="1">
        <v>33</v>
      </c>
      <c r="J563" s="1">
        <f t="shared" si="10"/>
        <v>62.75</v>
      </c>
      <c r="M563" s="1">
        <v>12</v>
      </c>
      <c r="P563" s="1">
        <v>5</v>
      </c>
      <c r="Q563" s="1">
        <v>7</v>
      </c>
      <c r="R563" s="1">
        <v>2</v>
      </c>
      <c r="S563" s="1">
        <v>38</v>
      </c>
    </row>
    <row r="564" spans="1:22" x14ac:dyDescent="0.25">
      <c r="A564" s="12">
        <v>38624</v>
      </c>
      <c r="B564" s="14" t="s">
        <v>582</v>
      </c>
      <c r="C564" s="14"/>
      <c r="D564" s="14"/>
      <c r="E564" s="1">
        <v>29</v>
      </c>
      <c r="F564" s="1">
        <f t="shared" si="8"/>
        <v>25</v>
      </c>
      <c r="G564" s="1">
        <v>18</v>
      </c>
      <c r="H564" s="1">
        <f t="shared" si="9"/>
        <v>48.5</v>
      </c>
      <c r="I564" s="1">
        <v>52</v>
      </c>
      <c r="J564" s="1">
        <f t="shared" si="10"/>
        <v>71.5</v>
      </c>
      <c r="M564" s="1">
        <v>17</v>
      </c>
      <c r="P564" s="1">
        <v>8</v>
      </c>
      <c r="Q564" s="1">
        <v>3</v>
      </c>
      <c r="R564" s="1">
        <v>5</v>
      </c>
      <c r="S564" s="1">
        <v>39</v>
      </c>
    </row>
    <row r="565" spans="1:22" x14ac:dyDescent="0.25">
      <c r="A565" s="12">
        <v>38631</v>
      </c>
      <c r="B565" s="14" t="s">
        <v>583</v>
      </c>
      <c r="C565" s="14"/>
      <c r="D565" s="14"/>
      <c r="E565" s="1">
        <v>57</v>
      </c>
      <c r="F565" s="1">
        <f t="shared" si="8"/>
        <v>30</v>
      </c>
      <c r="G565" s="1">
        <v>35</v>
      </c>
      <c r="H565" s="1">
        <f t="shared" si="9"/>
        <v>52.5</v>
      </c>
      <c r="I565" s="1">
        <v>66</v>
      </c>
      <c r="J565" s="1">
        <f t="shared" si="10"/>
        <v>79.5</v>
      </c>
      <c r="M565" s="1">
        <v>14</v>
      </c>
      <c r="P565" s="1">
        <v>6</v>
      </c>
      <c r="Q565" s="1">
        <v>8</v>
      </c>
      <c r="R565" s="1">
        <v>1</v>
      </c>
      <c r="S565" s="1">
        <v>40</v>
      </c>
    </row>
    <row r="566" spans="1:22" x14ac:dyDescent="0.25">
      <c r="A566" s="12">
        <v>38638</v>
      </c>
      <c r="B566" s="14" t="s">
        <v>584</v>
      </c>
      <c r="C566" s="14"/>
      <c r="D566" s="14"/>
      <c r="E566" s="1">
        <v>42</v>
      </c>
      <c r="F566" s="1">
        <f t="shared" si="8"/>
        <v>37.75</v>
      </c>
      <c r="G566" s="1">
        <v>49</v>
      </c>
      <c r="H566" s="1">
        <f t="shared" si="9"/>
        <v>50.75</v>
      </c>
      <c r="I566" s="1">
        <v>57</v>
      </c>
      <c r="J566" s="1">
        <f t="shared" si="10"/>
        <v>75.25</v>
      </c>
      <c r="M566" s="1">
        <v>12</v>
      </c>
      <c r="P566" s="1">
        <v>7</v>
      </c>
      <c r="Q566" s="1">
        <v>4</v>
      </c>
      <c r="R566" s="1">
        <v>3</v>
      </c>
      <c r="S566" s="1">
        <v>41</v>
      </c>
    </row>
    <row r="567" spans="1:22" x14ac:dyDescent="0.25">
      <c r="A567" s="12">
        <v>38645</v>
      </c>
      <c r="B567" s="14" t="s">
        <v>585</v>
      </c>
      <c r="C567" s="14"/>
      <c r="D567" s="14"/>
      <c r="E567" s="1">
        <v>37</v>
      </c>
      <c r="F567" s="1">
        <f t="shared" si="8"/>
        <v>38.25</v>
      </c>
      <c r="G567" s="1">
        <v>52</v>
      </c>
      <c r="H567" s="1">
        <f t="shared" si="9"/>
        <v>57</v>
      </c>
      <c r="I567" s="1">
        <v>60</v>
      </c>
      <c r="J567" s="1">
        <f t="shared" si="10"/>
        <v>77.25</v>
      </c>
      <c r="M567" s="1">
        <v>16</v>
      </c>
      <c r="P567" s="1">
        <v>11</v>
      </c>
      <c r="Q567" s="1">
        <v>8</v>
      </c>
      <c r="R567" s="1">
        <v>3</v>
      </c>
      <c r="S567" s="1">
        <v>42</v>
      </c>
    </row>
    <row r="568" spans="1:22" x14ac:dyDescent="0.25">
      <c r="A568" s="12">
        <v>38652</v>
      </c>
      <c r="B568" s="14" t="s">
        <v>586</v>
      </c>
      <c r="C568" s="14"/>
      <c r="D568" s="14"/>
      <c r="E568" s="1">
        <v>25</v>
      </c>
      <c r="F568" s="1">
        <f t="shared" si="8"/>
        <v>36</v>
      </c>
      <c r="G568" s="1">
        <v>47</v>
      </c>
      <c r="H568" s="1">
        <f t="shared" si="9"/>
        <v>59.25</v>
      </c>
      <c r="I568" s="1">
        <v>67</v>
      </c>
      <c r="J568" s="1">
        <f t="shared" si="10"/>
        <v>76.75</v>
      </c>
      <c r="M568" s="1">
        <v>15</v>
      </c>
      <c r="P568" s="1">
        <v>8</v>
      </c>
      <c r="Q568" s="1">
        <v>10</v>
      </c>
      <c r="R568" s="1">
        <v>1</v>
      </c>
      <c r="S568" s="1">
        <v>43</v>
      </c>
    </row>
    <row r="569" spans="1:22" x14ac:dyDescent="0.25">
      <c r="A569" s="12">
        <v>38659</v>
      </c>
      <c r="B569" s="14" t="s">
        <v>587</v>
      </c>
      <c r="C569" s="14"/>
      <c r="D569" s="14"/>
      <c r="E569" s="1">
        <v>35</v>
      </c>
      <c r="F569" s="1">
        <f t="shared" si="8"/>
        <v>41.75</v>
      </c>
      <c r="G569" s="1">
        <v>45</v>
      </c>
      <c r="H569" s="1">
        <f t="shared" si="9"/>
        <v>54.75</v>
      </c>
      <c r="I569" s="1">
        <v>63</v>
      </c>
      <c r="J569" s="1">
        <f t="shared" si="10"/>
        <v>76.25</v>
      </c>
      <c r="M569" s="1">
        <v>13</v>
      </c>
      <c r="P569" s="1">
        <v>12</v>
      </c>
      <c r="Q569" s="1">
        <v>5</v>
      </c>
      <c r="R569" s="1">
        <v>3</v>
      </c>
      <c r="S569" s="1">
        <v>44</v>
      </c>
    </row>
    <row r="570" spans="1:22" x14ac:dyDescent="0.25">
      <c r="A570" s="12">
        <v>38666</v>
      </c>
      <c r="B570" s="14" t="s">
        <v>588</v>
      </c>
      <c r="C570" s="14"/>
      <c r="D570" s="14"/>
      <c r="E570" s="1">
        <v>29</v>
      </c>
      <c r="F570" s="1">
        <f t="shared" si="8"/>
        <v>39.25</v>
      </c>
      <c r="G570" s="1">
        <v>50</v>
      </c>
      <c r="H570" s="1">
        <f t="shared" si="9"/>
        <v>54</v>
      </c>
      <c r="I570" s="1">
        <v>56</v>
      </c>
      <c r="J570" s="1">
        <f t="shared" si="10"/>
        <v>75</v>
      </c>
      <c r="M570" s="1">
        <v>11</v>
      </c>
      <c r="P570" s="1">
        <v>14</v>
      </c>
      <c r="Q570" s="1">
        <v>7</v>
      </c>
      <c r="R570" s="1">
        <v>4</v>
      </c>
      <c r="S570" s="1">
        <v>45</v>
      </c>
    </row>
    <row r="571" spans="1:22" x14ac:dyDescent="0.25">
      <c r="A571" s="12">
        <v>38673</v>
      </c>
      <c r="B571" s="14" t="s">
        <v>589</v>
      </c>
      <c r="C571" s="14"/>
      <c r="D571" s="14"/>
      <c r="E571" s="1">
        <v>35</v>
      </c>
      <c r="F571" s="1">
        <f t="shared" si="8"/>
        <v>36</v>
      </c>
      <c r="G571" s="1">
        <v>41</v>
      </c>
      <c r="H571" s="1">
        <f t="shared" si="9"/>
        <v>54.75</v>
      </c>
      <c r="I571" s="1">
        <v>54</v>
      </c>
      <c r="J571" s="1">
        <f t="shared" si="10"/>
        <v>69</v>
      </c>
      <c r="M571" s="1">
        <v>8</v>
      </c>
      <c r="P571" s="1">
        <v>17</v>
      </c>
      <c r="Q571" s="1">
        <v>4</v>
      </c>
      <c r="R571" s="1">
        <v>3</v>
      </c>
      <c r="S571" s="1">
        <v>46</v>
      </c>
    </row>
    <row r="572" spans="1:22" x14ac:dyDescent="0.25">
      <c r="A572" s="12">
        <v>38680</v>
      </c>
      <c r="B572" s="14" t="s">
        <v>590</v>
      </c>
      <c r="C572" s="14"/>
      <c r="D572" s="14"/>
      <c r="E572" s="1">
        <v>29</v>
      </c>
      <c r="F572" s="1">
        <f t="shared" si="8"/>
        <v>38.5</v>
      </c>
      <c r="G572" s="1">
        <v>45</v>
      </c>
      <c r="H572" s="1">
        <f t="shared" si="9"/>
        <v>55.75</v>
      </c>
      <c r="I572" s="1">
        <v>64</v>
      </c>
      <c r="J572" s="1">
        <f t="shared" si="10"/>
        <v>61.5</v>
      </c>
      <c r="M572" s="1">
        <v>7</v>
      </c>
      <c r="P572" s="1">
        <v>10</v>
      </c>
      <c r="Q572" s="1">
        <v>12</v>
      </c>
      <c r="R572" s="1">
        <v>2</v>
      </c>
      <c r="S572" s="1">
        <v>47</v>
      </c>
    </row>
    <row r="573" spans="1:22" x14ac:dyDescent="0.25">
      <c r="A573" s="12">
        <v>38687</v>
      </c>
      <c r="B573" s="14" t="s">
        <v>591</v>
      </c>
      <c r="C573" s="14"/>
      <c r="D573" s="14"/>
      <c r="E573" s="1">
        <v>32</v>
      </c>
      <c r="F573" s="1">
        <f t="shared" si="8"/>
        <v>38.25</v>
      </c>
      <c r="G573" s="1">
        <v>44</v>
      </c>
      <c r="H573" s="1">
        <f t="shared" si="9"/>
        <v>55</v>
      </c>
      <c r="I573" s="1">
        <v>63</v>
      </c>
      <c r="J573" s="1">
        <f t="shared" si="10"/>
        <v>74</v>
      </c>
      <c r="M573" s="1">
        <v>14</v>
      </c>
      <c r="P573" s="1">
        <v>9</v>
      </c>
      <c r="Q573" s="1">
        <v>7</v>
      </c>
      <c r="R573" s="1">
        <v>1</v>
      </c>
      <c r="S573" s="1">
        <v>48</v>
      </c>
    </row>
    <row r="574" spans="1:22" x14ac:dyDescent="0.25">
      <c r="A574" s="12">
        <v>38694</v>
      </c>
      <c r="B574" s="14" t="s">
        <v>592</v>
      </c>
      <c r="C574" s="14"/>
      <c r="D574" s="14"/>
      <c r="E574" s="1">
        <v>32</v>
      </c>
      <c r="F574" s="1">
        <f t="shared" si="8"/>
        <v>30.75</v>
      </c>
      <c r="G574" s="1">
        <v>51</v>
      </c>
      <c r="H574" s="1">
        <f t="shared" si="9"/>
        <v>50.25</v>
      </c>
      <c r="I574" s="1">
        <v>55</v>
      </c>
      <c r="J574" s="1">
        <f t="shared" si="10"/>
        <v>75.5</v>
      </c>
      <c r="M574" s="1">
        <v>10</v>
      </c>
      <c r="P574" s="1">
        <v>9</v>
      </c>
      <c r="Q574" s="1">
        <v>6</v>
      </c>
      <c r="R574" s="1">
        <v>0</v>
      </c>
      <c r="S574" s="1">
        <v>49</v>
      </c>
    </row>
    <row r="575" spans="1:22" x14ac:dyDescent="0.25">
      <c r="A575" s="12">
        <v>38701</v>
      </c>
      <c r="B575" s="14" t="s">
        <v>593</v>
      </c>
      <c r="C575" s="14"/>
      <c r="D575" s="14"/>
      <c r="E575" s="1">
        <v>27</v>
      </c>
      <c r="F575" s="1">
        <f t="shared" si="8"/>
        <v>32.75</v>
      </c>
      <c r="G575" s="1">
        <v>54</v>
      </c>
      <c r="H575" s="1">
        <f t="shared" si="9"/>
        <v>51.5</v>
      </c>
      <c r="I575" s="1">
        <v>65</v>
      </c>
      <c r="J575" s="1">
        <f t="shared" si="10"/>
        <v>73.5</v>
      </c>
      <c r="M575" s="1">
        <v>9</v>
      </c>
      <c r="P575" s="1">
        <v>7</v>
      </c>
      <c r="Q575" s="1">
        <v>6</v>
      </c>
      <c r="R575" s="1">
        <v>2</v>
      </c>
      <c r="S575" s="1">
        <v>50</v>
      </c>
      <c r="U575" s="22"/>
      <c r="V575" s="12"/>
    </row>
    <row r="576" spans="1:22" x14ac:dyDescent="0.25">
      <c r="A576" s="12">
        <v>38708</v>
      </c>
      <c r="B576" s="14" t="s">
        <v>594</v>
      </c>
      <c r="C576" s="14"/>
      <c r="D576" s="14"/>
      <c r="E576" s="1">
        <v>29</v>
      </c>
      <c r="F576" s="1">
        <f t="shared" si="8"/>
        <v>34.5</v>
      </c>
      <c r="G576" s="1">
        <v>48</v>
      </c>
      <c r="H576" s="1">
        <f t="shared" si="9"/>
        <v>50.5</v>
      </c>
      <c r="I576" s="1">
        <v>58</v>
      </c>
      <c r="J576" s="1">
        <f t="shared" si="10"/>
        <v>69.25</v>
      </c>
      <c r="M576" s="1">
        <v>6</v>
      </c>
      <c r="P576" s="1">
        <v>6</v>
      </c>
      <c r="Q576" s="1">
        <v>7</v>
      </c>
      <c r="R576" s="1">
        <v>0</v>
      </c>
      <c r="S576" s="1">
        <v>51</v>
      </c>
      <c r="U576" s="22"/>
      <c r="V576" s="12"/>
    </row>
    <row r="577" spans="1:22" x14ac:dyDescent="0.25">
      <c r="A577" s="12">
        <v>38715</v>
      </c>
      <c r="B577" s="14" t="s">
        <v>595</v>
      </c>
      <c r="C577" s="14"/>
      <c r="D577" s="14"/>
      <c r="E577" s="1">
        <v>37</v>
      </c>
      <c r="F577" s="1">
        <f t="shared" si="8"/>
        <v>37</v>
      </c>
      <c r="G577" s="1">
        <v>42</v>
      </c>
      <c r="H577" s="1">
        <f t="shared" si="9"/>
        <v>42</v>
      </c>
      <c r="I577" s="1">
        <v>72</v>
      </c>
      <c r="J577" s="1">
        <f t="shared" si="10"/>
        <v>67.5</v>
      </c>
      <c r="M577" s="1">
        <v>6</v>
      </c>
      <c r="P577" s="1">
        <v>2</v>
      </c>
      <c r="Q577" s="1">
        <v>3</v>
      </c>
      <c r="R577" s="1">
        <v>0</v>
      </c>
      <c r="S577" s="1">
        <v>52</v>
      </c>
      <c r="U577" s="22"/>
      <c r="V577" s="12"/>
    </row>
    <row r="578" spans="1:22" x14ac:dyDescent="0.25">
      <c r="A578" s="12">
        <v>38722</v>
      </c>
      <c r="B578" s="14" t="s">
        <v>596</v>
      </c>
      <c r="C578" s="14"/>
      <c r="D578" s="14"/>
      <c r="E578" s="1">
        <v>28</v>
      </c>
      <c r="F578" s="1">
        <f t="shared" si="8"/>
        <v>41.5</v>
      </c>
      <c r="G578" s="1">
        <v>52</v>
      </c>
      <c r="H578" s="1">
        <f t="shared" si="9"/>
        <v>52.5</v>
      </c>
      <c r="I578" s="1">
        <v>59</v>
      </c>
      <c r="J578" s="1">
        <f t="shared" si="10"/>
        <v>76.5</v>
      </c>
      <c r="M578" s="1">
        <v>7</v>
      </c>
      <c r="P578" s="1">
        <v>6</v>
      </c>
      <c r="Q578" s="1">
        <v>2</v>
      </c>
      <c r="R578" s="1">
        <v>1</v>
      </c>
      <c r="S578" s="1">
        <v>1</v>
      </c>
      <c r="U578" s="22"/>
      <c r="V578" s="12"/>
    </row>
    <row r="579" spans="1:22" x14ac:dyDescent="0.25">
      <c r="A579" s="12">
        <v>38729</v>
      </c>
      <c r="B579" s="14" t="s">
        <v>597</v>
      </c>
      <c r="C579" s="14"/>
      <c r="D579" s="14"/>
      <c r="E579" s="1">
        <v>26</v>
      </c>
      <c r="F579" s="1">
        <f t="shared" si="8"/>
        <v>40</v>
      </c>
      <c r="G579" s="1">
        <v>52</v>
      </c>
      <c r="H579" s="1">
        <f t="shared" si="9"/>
        <v>54.75</v>
      </c>
      <c r="I579" s="1">
        <v>69</v>
      </c>
      <c r="J579" s="1">
        <f t="shared" si="10"/>
        <v>75.75</v>
      </c>
      <c r="M579" s="1">
        <v>17</v>
      </c>
      <c r="P579" s="1">
        <v>6</v>
      </c>
      <c r="Q579" s="1">
        <v>6</v>
      </c>
      <c r="R579" s="1">
        <v>1</v>
      </c>
      <c r="S579" s="1">
        <v>2</v>
      </c>
      <c r="U579" s="22"/>
      <c r="V579" s="12"/>
    </row>
    <row r="580" spans="1:22" x14ac:dyDescent="0.25">
      <c r="A580" s="12">
        <v>38736</v>
      </c>
      <c r="B580" s="14" t="s">
        <v>598</v>
      </c>
      <c r="C580" s="14"/>
      <c r="D580" s="14"/>
      <c r="E580" s="1">
        <v>20</v>
      </c>
      <c r="F580" s="1">
        <f t="shared" si="8"/>
        <v>37.5</v>
      </c>
      <c r="G580" s="1">
        <v>48</v>
      </c>
      <c r="H580" s="1">
        <f t="shared" si="9"/>
        <v>59</v>
      </c>
      <c r="I580" s="1">
        <v>72</v>
      </c>
      <c r="J580" s="1">
        <f t="shared" si="10"/>
        <v>74</v>
      </c>
      <c r="M580" s="1">
        <v>12</v>
      </c>
      <c r="P580" s="1">
        <v>7</v>
      </c>
      <c r="Q580" s="1">
        <v>5</v>
      </c>
      <c r="R580" s="1">
        <v>3</v>
      </c>
      <c r="S580" s="1">
        <v>3</v>
      </c>
      <c r="U580" s="22"/>
      <c r="V580" s="12"/>
    </row>
    <row r="581" spans="1:22" x14ac:dyDescent="0.25">
      <c r="A581" s="12">
        <v>38743</v>
      </c>
      <c r="B581" s="14" t="s">
        <v>599</v>
      </c>
      <c r="C581" s="14"/>
      <c r="D581" s="14"/>
      <c r="E581" s="1">
        <v>25</v>
      </c>
      <c r="F581" s="1">
        <f t="shared" si="8"/>
        <v>35.25</v>
      </c>
      <c r="G581" s="1">
        <v>43</v>
      </c>
      <c r="H581" s="1">
        <f t="shared" si="9"/>
        <v>57.5</v>
      </c>
      <c r="I581" s="1">
        <v>81</v>
      </c>
      <c r="J581" s="1">
        <f t="shared" si="10"/>
        <v>68.5</v>
      </c>
      <c r="M581" s="1">
        <v>13</v>
      </c>
      <c r="P581" s="1">
        <v>7</v>
      </c>
      <c r="Q581" s="1">
        <v>8</v>
      </c>
      <c r="R581" s="1">
        <v>0</v>
      </c>
      <c r="S581" s="1">
        <v>4</v>
      </c>
      <c r="U581" s="22"/>
      <c r="V581" s="12"/>
    </row>
    <row r="582" spans="1:22" x14ac:dyDescent="0.25">
      <c r="A582" s="12">
        <v>38750</v>
      </c>
      <c r="B582" s="14" t="s">
        <v>600</v>
      </c>
      <c r="C582" s="14"/>
      <c r="D582" s="14"/>
      <c r="E582" s="1">
        <v>35</v>
      </c>
      <c r="F582" s="1">
        <f t="shared" si="8"/>
        <v>41.75</v>
      </c>
      <c r="G582" s="1">
        <v>52</v>
      </c>
      <c r="H582" s="1">
        <f t="shared" si="9"/>
        <v>48.75</v>
      </c>
      <c r="I582" s="1">
        <v>61</v>
      </c>
      <c r="J582" s="1">
        <f t="shared" si="10"/>
        <v>61.5</v>
      </c>
      <c r="M582" s="1">
        <v>15</v>
      </c>
      <c r="P582" s="1">
        <v>9</v>
      </c>
      <c r="Q582" s="1">
        <v>7</v>
      </c>
      <c r="R582" s="1">
        <v>2</v>
      </c>
      <c r="S582" s="1">
        <v>5</v>
      </c>
      <c r="U582" s="22"/>
      <c r="V582" s="12"/>
    </row>
    <row r="583" spans="1:22" x14ac:dyDescent="0.25">
      <c r="A583" s="12">
        <v>38757</v>
      </c>
      <c r="B583" s="14" t="s">
        <v>601</v>
      </c>
      <c r="C583" s="14"/>
      <c r="D583" s="14"/>
      <c r="E583" s="1">
        <v>34</v>
      </c>
      <c r="F583" s="1">
        <f t="shared" si="8"/>
        <v>41.5</v>
      </c>
      <c r="G583" s="1">
        <v>45</v>
      </c>
      <c r="H583" s="1">
        <f t="shared" si="9"/>
        <v>49.5</v>
      </c>
      <c r="I583" s="1">
        <v>58</v>
      </c>
      <c r="J583" s="1">
        <f t="shared" si="10"/>
        <v>66</v>
      </c>
      <c r="M583" s="1">
        <v>12</v>
      </c>
      <c r="P583" s="1">
        <v>6</v>
      </c>
      <c r="Q583" s="1">
        <v>13</v>
      </c>
      <c r="R583" s="1">
        <v>6</v>
      </c>
      <c r="S583" s="1">
        <v>6</v>
      </c>
      <c r="U583" s="22"/>
      <c r="V583" s="12"/>
    </row>
    <row r="584" spans="1:22" x14ac:dyDescent="0.25">
      <c r="A584" s="12">
        <v>38764</v>
      </c>
      <c r="B584" s="14" t="s">
        <v>602</v>
      </c>
      <c r="C584" s="14"/>
      <c r="D584" s="14"/>
      <c r="E584" s="1">
        <v>22</v>
      </c>
      <c r="F584" s="1">
        <f t="shared" si="8"/>
        <v>45.5</v>
      </c>
      <c r="G584" s="1">
        <v>56</v>
      </c>
      <c r="H584" s="1">
        <f t="shared" si="9"/>
        <v>51.25</v>
      </c>
      <c r="I584" s="1">
        <v>72</v>
      </c>
      <c r="J584" s="1">
        <f t="shared" si="10"/>
        <v>63.75</v>
      </c>
      <c r="M584" s="1">
        <v>12</v>
      </c>
      <c r="P584" s="1">
        <v>13</v>
      </c>
      <c r="Q584" s="1">
        <v>7</v>
      </c>
      <c r="R584" s="1">
        <v>1</v>
      </c>
      <c r="S584" s="1">
        <v>7</v>
      </c>
      <c r="U584" s="22"/>
      <c r="V584" s="12"/>
    </row>
    <row r="585" spans="1:22" x14ac:dyDescent="0.25">
      <c r="A585" s="12">
        <v>38771</v>
      </c>
      <c r="B585" s="14" t="s">
        <v>603</v>
      </c>
      <c r="C585" s="14"/>
      <c r="D585" s="14"/>
      <c r="E585" s="1">
        <v>30</v>
      </c>
      <c r="F585" s="1">
        <f t="shared" si="8"/>
        <v>36.25</v>
      </c>
      <c r="G585" s="1">
        <v>47</v>
      </c>
      <c r="H585" s="1">
        <f t="shared" si="9"/>
        <v>51.5</v>
      </c>
      <c r="I585" s="1">
        <v>65</v>
      </c>
      <c r="J585" s="1">
        <f t="shared" si="10"/>
        <v>66.25</v>
      </c>
      <c r="M585" s="1">
        <v>12</v>
      </c>
      <c r="P585" s="1">
        <v>8</v>
      </c>
      <c r="Q585" s="1">
        <v>10</v>
      </c>
      <c r="R585" s="1">
        <v>1</v>
      </c>
      <c r="S585" s="1">
        <v>8</v>
      </c>
    </row>
    <row r="586" spans="1:22" x14ac:dyDescent="0.25">
      <c r="A586" s="12">
        <v>38778</v>
      </c>
      <c r="B586" s="14" t="s">
        <v>604</v>
      </c>
      <c r="C586" s="14"/>
      <c r="D586" s="14"/>
      <c r="E586" s="1">
        <v>36</v>
      </c>
      <c r="F586" s="1">
        <f t="shared" si="8"/>
        <v>33.5</v>
      </c>
      <c r="G586" s="1">
        <v>49</v>
      </c>
      <c r="H586" s="1">
        <f t="shared" si="9"/>
        <v>56.75</v>
      </c>
      <c r="I586" s="1">
        <v>61</v>
      </c>
      <c r="J586" s="1">
        <f t="shared" si="10"/>
        <v>60.5</v>
      </c>
      <c r="M586" s="1">
        <v>11</v>
      </c>
      <c r="P586" s="1">
        <v>9</v>
      </c>
      <c r="Q586" s="1">
        <v>9</v>
      </c>
      <c r="R586" s="1">
        <v>0</v>
      </c>
      <c r="S586" s="1">
        <v>9</v>
      </c>
    </row>
    <row r="587" spans="1:22" x14ac:dyDescent="0.25">
      <c r="A587" s="12">
        <v>38785</v>
      </c>
      <c r="B587" s="14" t="s">
        <v>605</v>
      </c>
      <c r="C587" s="14"/>
      <c r="D587" s="14"/>
      <c r="E587" s="1">
        <v>22</v>
      </c>
      <c r="F587" s="1">
        <f t="shared" ref="F587:F627" si="11">AVERAGE(E535,E483,E431,E379)</f>
        <v>28.25</v>
      </c>
      <c r="G587" s="1">
        <v>54</v>
      </c>
      <c r="H587" s="1">
        <f t="shared" ref="H587:H618" si="12">AVERAGE(G535,G483,G431,G379)</f>
        <v>49.25</v>
      </c>
      <c r="I587" s="1">
        <v>61</v>
      </c>
      <c r="J587" s="1">
        <f t="shared" ref="J587:J767" si="13">AVERAGE(I535,I483,I431,I379)</f>
        <v>59.5</v>
      </c>
      <c r="M587" s="1">
        <v>11</v>
      </c>
      <c r="P587" s="1">
        <v>7</v>
      </c>
      <c r="Q587" s="1">
        <v>7</v>
      </c>
      <c r="R587" s="1">
        <v>2</v>
      </c>
      <c r="S587" s="1">
        <v>10</v>
      </c>
    </row>
    <row r="588" spans="1:22" x14ac:dyDescent="0.25">
      <c r="A588" s="12">
        <v>38792</v>
      </c>
      <c r="B588" s="14" t="s">
        <v>606</v>
      </c>
      <c r="C588" s="14"/>
      <c r="D588" s="14"/>
      <c r="E588" s="1">
        <v>25</v>
      </c>
      <c r="F588" s="1">
        <f t="shared" si="11"/>
        <v>30.75</v>
      </c>
      <c r="G588" s="1">
        <v>50</v>
      </c>
      <c r="H588" s="1">
        <f t="shared" si="12"/>
        <v>46.5</v>
      </c>
      <c r="I588" s="1">
        <v>61</v>
      </c>
      <c r="J588" s="1">
        <f t="shared" si="13"/>
        <v>55.25</v>
      </c>
      <c r="M588" s="1">
        <v>12</v>
      </c>
      <c r="P588" s="1">
        <v>6</v>
      </c>
      <c r="Q588" s="1">
        <v>7</v>
      </c>
      <c r="R588" s="1">
        <v>0</v>
      </c>
      <c r="S588" s="1">
        <v>11</v>
      </c>
    </row>
    <row r="589" spans="1:22" x14ac:dyDescent="0.25">
      <c r="A589" s="12">
        <v>38799</v>
      </c>
      <c r="B589" s="14" t="s">
        <v>607</v>
      </c>
      <c r="C589" s="14"/>
      <c r="D589" s="14"/>
      <c r="E589" s="1">
        <v>18</v>
      </c>
      <c r="F589" s="1">
        <f t="shared" si="11"/>
        <v>23.75</v>
      </c>
      <c r="G589" s="1">
        <v>47</v>
      </c>
      <c r="H589" s="1">
        <f t="shared" si="12"/>
        <v>46.25</v>
      </c>
      <c r="I589" s="1">
        <v>52</v>
      </c>
      <c r="J589" s="1">
        <f t="shared" si="13"/>
        <v>54.75</v>
      </c>
      <c r="M589" s="1">
        <v>7</v>
      </c>
      <c r="P589" s="1">
        <v>6</v>
      </c>
      <c r="Q589" s="1">
        <v>5</v>
      </c>
      <c r="R589" s="1">
        <v>6</v>
      </c>
      <c r="S589" s="1">
        <v>12</v>
      </c>
    </row>
    <row r="590" spans="1:22" x14ac:dyDescent="0.25">
      <c r="A590" s="12">
        <v>38806</v>
      </c>
      <c r="B590" s="14" t="s">
        <v>608</v>
      </c>
      <c r="C590" s="14"/>
      <c r="D590" s="14"/>
      <c r="E590" s="1">
        <v>16</v>
      </c>
      <c r="F590" s="1">
        <f t="shared" si="11"/>
        <v>20.5</v>
      </c>
      <c r="G590" s="1">
        <v>35</v>
      </c>
      <c r="H590" s="1">
        <f t="shared" si="12"/>
        <v>41.25</v>
      </c>
      <c r="I590" s="1">
        <v>46</v>
      </c>
      <c r="J590" s="1">
        <f t="shared" si="13"/>
        <v>51.5</v>
      </c>
      <c r="M590" s="1">
        <v>6</v>
      </c>
      <c r="P590" s="1">
        <v>4</v>
      </c>
      <c r="Q590" s="1">
        <v>11</v>
      </c>
      <c r="R590" s="1">
        <v>5</v>
      </c>
      <c r="S590" s="1">
        <v>13</v>
      </c>
    </row>
    <row r="591" spans="1:22" x14ac:dyDescent="0.25">
      <c r="A591" s="12">
        <v>38813</v>
      </c>
      <c r="B591" s="14" t="s">
        <v>609</v>
      </c>
      <c r="C591" s="14"/>
      <c r="D591" s="14"/>
      <c r="E591" s="1">
        <v>16</v>
      </c>
      <c r="F591" s="1">
        <f t="shared" si="11"/>
        <v>25</v>
      </c>
      <c r="G591" s="1">
        <v>33</v>
      </c>
      <c r="H591" s="1">
        <f t="shared" si="12"/>
        <v>43.75</v>
      </c>
      <c r="I591" s="1">
        <v>48</v>
      </c>
      <c r="J591" s="1">
        <f t="shared" si="13"/>
        <v>48.5</v>
      </c>
      <c r="M591" s="1">
        <v>1</v>
      </c>
      <c r="P591" s="1">
        <v>5</v>
      </c>
      <c r="Q591" s="1">
        <v>9</v>
      </c>
      <c r="R591" s="1">
        <v>1</v>
      </c>
      <c r="S591" s="1">
        <v>14</v>
      </c>
    </row>
    <row r="592" spans="1:22" x14ac:dyDescent="0.25">
      <c r="A592" s="12">
        <v>38820</v>
      </c>
      <c r="B592" s="14" t="s">
        <v>610</v>
      </c>
      <c r="C592" s="14"/>
      <c r="D592" s="14"/>
      <c r="E592" s="1">
        <v>20</v>
      </c>
      <c r="F592" s="1">
        <f t="shared" si="11"/>
        <v>18.5</v>
      </c>
      <c r="G592" s="1">
        <v>33</v>
      </c>
      <c r="H592" s="1">
        <f t="shared" si="12"/>
        <v>36</v>
      </c>
      <c r="I592" s="1">
        <v>52</v>
      </c>
      <c r="J592" s="1">
        <f t="shared" si="13"/>
        <v>52.75</v>
      </c>
      <c r="M592" s="1">
        <v>8</v>
      </c>
      <c r="P592" s="1">
        <v>4</v>
      </c>
      <c r="Q592" s="1">
        <v>7</v>
      </c>
      <c r="R592" s="1">
        <v>2</v>
      </c>
      <c r="S592" s="1">
        <v>15</v>
      </c>
    </row>
    <row r="593" spans="1:19" x14ac:dyDescent="0.25">
      <c r="A593" s="12">
        <v>38827</v>
      </c>
      <c r="B593" s="14" t="s">
        <v>611</v>
      </c>
      <c r="C593" s="14"/>
      <c r="D593" s="14"/>
      <c r="E593" s="1">
        <v>19</v>
      </c>
      <c r="F593" s="1">
        <f t="shared" si="11"/>
        <v>20</v>
      </c>
      <c r="G593" s="1">
        <v>34</v>
      </c>
      <c r="H593" s="1">
        <f t="shared" si="12"/>
        <v>39.75</v>
      </c>
      <c r="I593" s="1">
        <v>49</v>
      </c>
      <c r="J593" s="1">
        <f t="shared" si="13"/>
        <v>45.75</v>
      </c>
      <c r="M593" s="1">
        <v>10</v>
      </c>
      <c r="P593" s="1">
        <v>9</v>
      </c>
      <c r="Q593" s="1">
        <v>2</v>
      </c>
      <c r="R593" s="1">
        <v>2</v>
      </c>
      <c r="S593" s="1">
        <v>16</v>
      </c>
    </row>
    <row r="594" spans="1:19" x14ac:dyDescent="0.25">
      <c r="A594" s="12">
        <v>38834</v>
      </c>
      <c r="B594" s="14" t="s">
        <v>612</v>
      </c>
      <c r="C594" s="14"/>
      <c r="D594" s="14"/>
      <c r="E594" s="1">
        <v>20</v>
      </c>
      <c r="F594" s="1">
        <f t="shared" si="11"/>
        <v>22</v>
      </c>
      <c r="G594" s="1">
        <v>39</v>
      </c>
      <c r="H594" s="1">
        <f t="shared" si="12"/>
        <v>41</v>
      </c>
      <c r="I594" s="1">
        <v>45</v>
      </c>
      <c r="J594" s="1">
        <f t="shared" si="13"/>
        <v>45.25</v>
      </c>
      <c r="M594" s="1">
        <v>4</v>
      </c>
      <c r="P594" s="1">
        <v>9</v>
      </c>
      <c r="Q594" s="1">
        <v>7</v>
      </c>
      <c r="R594" s="1">
        <v>4</v>
      </c>
      <c r="S594" s="1">
        <v>17</v>
      </c>
    </row>
    <row r="595" spans="1:19" x14ac:dyDescent="0.25">
      <c r="A595" s="12">
        <v>38841</v>
      </c>
      <c r="B595" s="14" t="s">
        <v>613</v>
      </c>
      <c r="C595" s="14"/>
      <c r="D595" s="14"/>
      <c r="E595" s="1">
        <v>17</v>
      </c>
      <c r="F595" s="1">
        <f t="shared" si="11"/>
        <v>17</v>
      </c>
      <c r="G595" s="1">
        <v>36</v>
      </c>
      <c r="H595" s="1">
        <f t="shared" si="12"/>
        <v>36.25</v>
      </c>
      <c r="I595" s="1">
        <v>59</v>
      </c>
      <c r="J595" s="1">
        <f t="shared" si="13"/>
        <v>54.5</v>
      </c>
      <c r="M595" s="1">
        <v>7</v>
      </c>
      <c r="P595" s="1">
        <v>9</v>
      </c>
      <c r="Q595" s="1">
        <v>5</v>
      </c>
      <c r="R595" s="1">
        <v>2</v>
      </c>
      <c r="S595" s="1">
        <v>18</v>
      </c>
    </row>
    <row r="596" spans="1:19" x14ac:dyDescent="0.25">
      <c r="A596" s="12">
        <v>38848</v>
      </c>
      <c r="B596" s="14" t="s">
        <v>614</v>
      </c>
      <c r="C596" s="14"/>
      <c r="D596" s="14"/>
      <c r="E596" s="1">
        <v>27</v>
      </c>
      <c r="F596" s="1">
        <f t="shared" si="11"/>
        <v>20.25</v>
      </c>
      <c r="G596" s="1">
        <v>37</v>
      </c>
      <c r="H596" s="1">
        <f t="shared" si="12"/>
        <v>38.75</v>
      </c>
      <c r="I596" s="1">
        <v>61</v>
      </c>
      <c r="J596" s="1">
        <f t="shared" si="13"/>
        <v>52.25</v>
      </c>
      <c r="M596" s="1">
        <v>10</v>
      </c>
      <c r="P596" s="1">
        <v>10</v>
      </c>
      <c r="Q596" s="1">
        <v>14</v>
      </c>
      <c r="R596" s="1">
        <v>0</v>
      </c>
      <c r="S596" s="1">
        <v>19</v>
      </c>
    </row>
    <row r="597" spans="1:19" x14ac:dyDescent="0.25">
      <c r="A597" s="12">
        <v>38855</v>
      </c>
      <c r="B597" s="14" t="s">
        <v>615</v>
      </c>
      <c r="C597" s="14"/>
      <c r="D597" s="14"/>
      <c r="E597" s="1">
        <v>22</v>
      </c>
      <c r="F597" s="1">
        <f t="shared" si="11"/>
        <v>22.25</v>
      </c>
      <c r="G597" s="1">
        <v>40</v>
      </c>
      <c r="H597" s="1">
        <f t="shared" si="12"/>
        <v>37.75</v>
      </c>
      <c r="I597" s="1">
        <v>58</v>
      </c>
      <c r="J597" s="1">
        <f t="shared" si="13"/>
        <v>48.25</v>
      </c>
      <c r="M597" s="1">
        <v>7</v>
      </c>
      <c r="P597" s="2" t="s">
        <v>551</v>
      </c>
      <c r="Q597" s="1">
        <v>3</v>
      </c>
      <c r="R597" s="2" t="s">
        <v>551</v>
      </c>
      <c r="S597" s="1">
        <v>20</v>
      </c>
    </row>
    <row r="598" spans="1:19" x14ac:dyDescent="0.25">
      <c r="A598" s="12">
        <v>38862</v>
      </c>
      <c r="B598" s="14" t="s">
        <v>616</v>
      </c>
      <c r="C598" s="14"/>
      <c r="D598" s="14"/>
      <c r="E598" s="1">
        <v>26</v>
      </c>
      <c r="F598" s="1">
        <f t="shared" si="11"/>
        <v>21.25</v>
      </c>
      <c r="G598" s="1">
        <v>46</v>
      </c>
      <c r="H598" s="1">
        <f t="shared" si="12"/>
        <v>36.25</v>
      </c>
      <c r="I598" s="1">
        <v>48</v>
      </c>
      <c r="J598" s="1">
        <f t="shared" si="13"/>
        <v>50</v>
      </c>
      <c r="M598" s="1">
        <v>5</v>
      </c>
      <c r="P598" s="2" t="s">
        <v>551</v>
      </c>
      <c r="Q598" s="1">
        <v>6</v>
      </c>
      <c r="R598" s="2" t="s">
        <v>551</v>
      </c>
      <c r="S598" s="1">
        <v>21</v>
      </c>
    </row>
    <row r="599" spans="1:19" x14ac:dyDescent="0.25">
      <c r="A599" s="12">
        <v>38869</v>
      </c>
      <c r="B599" s="14" t="s">
        <v>617</v>
      </c>
      <c r="C599" s="14"/>
      <c r="D599" s="14"/>
      <c r="E599" s="1">
        <v>27</v>
      </c>
      <c r="F599" s="1">
        <f t="shared" si="11"/>
        <v>24.25</v>
      </c>
      <c r="G599" s="1">
        <v>41</v>
      </c>
      <c r="H599" s="1">
        <f t="shared" si="12"/>
        <v>35</v>
      </c>
      <c r="I599" s="1">
        <v>51</v>
      </c>
      <c r="J599" s="1">
        <f t="shared" si="13"/>
        <v>47.75</v>
      </c>
      <c r="M599" s="1">
        <v>9</v>
      </c>
      <c r="P599" s="2" t="s">
        <v>551</v>
      </c>
      <c r="Q599" s="2" t="s">
        <v>551</v>
      </c>
      <c r="R599" s="2" t="s">
        <v>551</v>
      </c>
      <c r="S599" s="1">
        <v>22</v>
      </c>
    </row>
    <row r="600" spans="1:19" x14ac:dyDescent="0.25">
      <c r="A600" s="12">
        <v>38876</v>
      </c>
      <c r="B600" s="14" t="s">
        <v>618</v>
      </c>
      <c r="C600" s="14"/>
      <c r="D600" s="14"/>
      <c r="E600" s="1">
        <v>19</v>
      </c>
      <c r="F600" s="1">
        <f t="shared" si="11"/>
        <v>21.25</v>
      </c>
      <c r="G600" s="1">
        <v>35</v>
      </c>
      <c r="H600" s="1">
        <f t="shared" si="12"/>
        <v>38.5</v>
      </c>
      <c r="I600" s="1">
        <v>48</v>
      </c>
      <c r="J600" s="1">
        <f t="shared" si="13"/>
        <v>49</v>
      </c>
      <c r="M600" s="1">
        <v>11</v>
      </c>
      <c r="P600" s="1">
        <v>6</v>
      </c>
      <c r="Q600" s="1">
        <v>3</v>
      </c>
      <c r="R600" s="1">
        <v>3</v>
      </c>
      <c r="S600" s="1">
        <v>23</v>
      </c>
    </row>
    <row r="601" spans="1:19" x14ac:dyDescent="0.25">
      <c r="A601" s="12">
        <v>38883</v>
      </c>
      <c r="B601" s="14" t="s">
        <v>619</v>
      </c>
      <c r="C601" s="14"/>
      <c r="D601" s="14"/>
      <c r="E601" s="1">
        <v>13</v>
      </c>
      <c r="F601" s="1">
        <f t="shared" si="11"/>
        <v>21.75</v>
      </c>
      <c r="G601" s="1">
        <v>36</v>
      </c>
      <c r="H601" s="1">
        <f t="shared" si="12"/>
        <v>38.25</v>
      </c>
      <c r="I601" s="1">
        <v>50</v>
      </c>
      <c r="J601" s="1">
        <f t="shared" si="13"/>
        <v>54</v>
      </c>
      <c r="M601" s="1">
        <v>3</v>
      </c>
      <c r="P601" s="1">
        <v>9</v>
      </c>
      <c r="Q601" s="1">
        <v>3</v>
      </c>
      <c r="R601" s="1">
        <v>0</v>
      </c>
      <c r="S601" s="1">
        <v>24</v>
      </c>
    </row>
    <row r="602" spans="1:19" x14ac:dyDescent="0.25">
      <c r="A602" s="12">
        <v>38890</v>
      </c>
      <c r="B602" s="14" t="s">
        <v>620</v>
      </c>
      <c r="C602" s="14"/>
      <c r="D602" s="14"/>
      <c r="E602" s="1">
        <v>17</v>
      </c>
      <c r="F602" s="1">
        <f t="shared" si="11"/>
        <v>20.5</v>
      </c>
      <c r="G602" s="1">
        <v>40</v>
      </c>
      <c r="H602" s="1">
        <f t="shared" si="12"/>
        <v>37.5</v>
      </c>
      <c r="I602" s="1">
        <v>63</v>
      </c>
      <c r="J602" s="1">
        <f t="shared" si="13"/>
        <v>56</v>
      </c>
      <c r="M602" s="1">
        <v>7</v>
      </c>
      <c r="P602" s="1">
        <v>6</v>
      </c>
      <c r="Q602" s="1">
        <v>4</v>
      </c>
      <c r="R602" s="1">
        <v>0</v>
      </c>
      <c r="S602" s="1">
        <v>25</v>
      </c>
    </row>
    <row r="603" spans="1:19" x14ac:dyDescent="0.25">
      <c r="A603" s="12">
        <v>38897</v>
      </c>
      <c r="B603" s="14" t="s">
        <v>621</v>
      </c>
      <c r="C603" s="14"/>
      <c r="D603" s="14"/>
      <c r="E603" s="1">
        <v>23</v>
      </c>
      <c r="F603" s="1">
        <f t="shared" si="11"/>
        <v>28</v>
      </c>
      <c r="G603" s="1">
        <v>31</v>
      </c>
      <c r="H603" s="1">
        <f t="shared" si="12"/>
        <v>37.5</v>
      </c>
      <c r="I603" s="1">
        <v>57</v>
      </c>
      <c r="J603" s="1">
        <f t="shared" si="13"/>
        <v>51.25</v>
      </c>
      <c r="M603" s="1">
        <v>7</v>
      </c>
      <c r="P603" s="1">
        <v>5</v>
      </c>
      <c r="Q603" s="1">
        <v>5</v>
      </c>
      <c r="R603" s="1">
        <v>0</v>
      </c>
      <c r="S603" s="1">
        <v>26</v>
      </c>
    </row>
    <row r="604" spans="1:19" x14ac:dyDescent="0.25">
      <c r="A604" s="12">
        <v>38904</v>
      </c>
      <c r="B604" s="14" t="s">
        <v>622</v>
      </c>
      <c r="C604" s="14"/>
      <c r="D604" s="14"/>
      <c r="E604" s="1">
        <v>23</v>
      </c>
      <c r="F604" s="1">
        <f t="shared" si="11"/>
        <v>31.25</v>
      </c>
      <c r="G604" s="1">
        <v>34</v>
      </c>
      <c r="H604" s="1">
        <f t="shared" si="12"/>
        <v>44.5</v>
      </c>
      <c r="I604" s="1">
        <v>60</v>
      </c>
      <c r="J604" s="1">
        <f t="shared" si="13"/>
        <v>55.25</v>
      </c>
      <c r="M604" s="1">
        <v>4</v>
      </c>
      <c r="P604" s="1">
        <v>7</v>
      </c>
      <c r="Q604" s="1">
        <v>3</v>
      </c>
      <c r="R604" s="1">
        <v>1</v>
      </c>
      <c r="S604" s="1">
        <v>27</v>
      </c>
    </row>
    <row r="605" spans="1:19" x14ac:dyDescent="0.25">
      <c r="A605" s="12">
        <v>38911</v>
      </c>
      <c r="B605" s="14" t="s">
        <v>623</v>
      </c>
      <c r="C605" s="14"/>
      <c r="D605" s="14"/>
      <c r="E605" s="1">
        <v>36</v>
      </c>
      <c r="F605" s="1">
        <f t="shared" si="11"/>
        <v>26.25</v>
      </c>
      <c r="G605" s="1">
        <v>44</v>
      </c>
      <c r="H605" s="1">
        <f t="shared" si="12"/>
        <v>44.25</v>
      </c>
      <c r="I605" s="1">
        <v>54</v>
      </c>
      <c r="J605" s="1">
        <f t="shared" si="13"/>
        <v>49.5</v>
      </c>
      <c r="M605" s="1">
        <v>7</v>
      </c>
      <c r="P605" s="1">
        <v>5</v>
      </c>
      <c r="Q605" s="1">
        <v>4</v>
      </c>
      <c r="R605" s="1">
        <v>2</v>
      </c>
      <c r="S605" s="1">
        <v>28</v>
      </c>
    </row>
    <row r="606" spans="1:19" x14ac:dyDescent="0.25">
      <c r="A606" s="12">
        <v>38918</v>
      </c>
      <c r="B606" s="14" t="s">
        <v>624</v>
      </c>
      <c r="C606" s="14"/>
      <c r="D606" s="14"/>
      <c r="E606" s="1">
        <v>23</v>
      </c>
      <c r="F606" s="1">
        <f t="shared" si="11"/>
        <v>22.25</v>
      </c>
      <c r="G606" s="1">
        <v>38</v>
      </c>
      <c r="H606" s="1">
        <f t="shared" si="12"/>
        <v>45.25</v>
      </c>
      <c r="I606" s="1">
        <v>53</v>
      </c>
      <c r="J606" s="1">
        <f t="shared" si="13"/>
        <v>57.75</v>
      </c>
      <c r="M606" s="1">
        <v>6</v>
      </c>
      <c r="P606" s="1">
        <v>7</v>
      </c>
      <c r="Q606" s="1">
        <v>6</v>
      </c>
      <c r="R606" s="1">
        <v>2</v>
      </c>
      <c r="S606" s="1">
        <v>29</v>
      </c>
    </row>
    <row r="607" spans="1:19" x14ac:dyDescent="0.25">
      <c r="A607" s="12">
        <v>38925</v>
      </c>
      <c r="B607" s="14" t="s">
        <v>624</v>
      </c>
      <c r="C607" s="14"/>
      <c r="D607" s="14"/>
      <c r="E607" s="1">
        <v>34</v>
      </c>
      <c r="F607" s="1">
        <f t="shared" si="11"/>
        <v>20.25</v>
      </c>
      <c r="G607" s="1">
        <v>34</v>
      </c>
      <c r="H607" s="1">
        <f t="shared" si="12"/>
        <v>44.5</v>
      </c>
      <c r="I607" s="1">
        <v>58</v>
      </c>
      <c r="J607" s="1">
        <f t="shared" si="13"/>
        <v>57.75</v>
      </c>
      <c r="M607" s="1">
        <v>3</v>
      </c>
      <c r="P607" s="1">
        <v>6</v>
      </c>
      <c r="Q607" s="1">
        <v>3</v>
      </c>
      <c r="R607" s="1">
        <v>0</v>
      </c>
      <c r="S607" s="1">
        <v>30</v>
      </c>
    </row>
    <row r="608" spans="1:19" x14ac:dyDescent="0.25">
      <c r="A608" s="12">
        <v>38932</v>
      </c>
      <c r="B608" s="14" t="s">
        <v>625</v>
      </c>
      <c r="C608" s="14"/>
      <c r="D608" s="14"/>
      <c r="E608" s="1">
        <v>27</v>
      </c>
      <c r="F608" s="1">
        <f t="shared" si="11"/>
        <v>22</v>
      </c>
      <c r="G608" s="1">
        <v>45</v>
      </c>
      <c r="H608" s="1">
        <f t="shared" si="12"/>
        <v>47.25</v>
      </c>
      <c r="I608" s="1">
        <v>57</v>
      </c>
      <c r="J608" s="1">
        <f t="shared" si="13"/>
        <v>59.5</v>
      </c>
      <c r="M608" s="1">
        <v>6</v>
      </c>
      <c r="P608" s="1">
        <v>3</v>
      </c>
      <c r="Q608" s="1">
        <v>3</v>
      </c>
      <c r="R608" s="1">
        <v>0</v>
      </c>
      <c r="S608" s="1">
        <v>31</v>
      </c>
    </row>
    <row r="609" spans="1:19" x14ac:dyDescent="0.25">
      <c r="A609" s="12">
        <v>38939</v>
      </c>
      <c r="B609" s="14" t="s">
        <v>626</v>
      </c>
      <c r="C609" s="14"/>
      <c r="D609" s="14"/>
      <c r="E609" s="1">
        <v>37</v>
      </c>
      <c r="F609" s="1">
        <f t="shared" si="11"/>
        <v>23.5</v>
      </c>
      <c r="G609" s="1">
        <v>33</v>
      </c>
      <c r="H609" s="1">
        <f t="shared" si="12"/>
        <v>40.25</v>
      </c>
      <c r="I609" s="1">
        <v>52</v>
      </c>
      <c r="J609" s="1">
        <f t="shared" si="13"/>
        <v>57</v>
      </c>
      <c r="M609" s="1">
        <v>4</v>
      </c>
      <c r="P609" s="1">
        <v>2</v>
      </c>
      <c r="Q609" s="1">
        <v>2</v>
      </c>
      <c r="R609" s="1">
        <v>0</v>
      </c>
      <c r="S609" s="1">
        <v>32</v>
      </c>
    </row>
    <row r="610" spans="1:19" x14ac:dyDescent="0.25">
      <c r="A610" s="12">
        <v>38946</v>
      </c>
      <c r="B610" s="14" t="s">
        <v>627</v>
      </c>
      <c r="C610" s="14"/>
      <c r="D610" s="14"/>
      <c r="E610" s="1">
        <v>32</v>
      </c>
      <c r="F610" s="1">
        <f t="shared" si="11"/>
        <v>27.75</v>
      </c>
      <c r="G610" s="1">
        <v>45</v>
      </c>
      <c r="H610" s="1">
        <f t="shared" si="12"/>
        <v>48.5</v>
      </c>
      <c r="I610" s="1">
        <v>51</v>
      </c>
      <c r="J610" s="1">
        <f t="shared" si="13"/>
        <v>53.75</v>
      </c>
      <c r="M610" s="1">
        <v>5</v>
      </c>
      <c r="P610" s="1">
        <v>3</v>
      </c>
      <c r="Q610" s="1">
        <v>0</v>
      </c>
      <c r="R610" s="1">
        <v>2</v>
      </c>
      <c r="S610" s="1">
        <v>33</v>
      </c>
    </row>
    <row r="611" spans="1:19" x14ac:dyDescent="0.25">
      <c r="A611" s="12">
        <v>38953</v>
      </c>
      <c r="B611" s="14" t="s">
        <v>628</v>
      </c>
      <c r="C611" s="14"/>
      <c r="D611" s="14"/>
      <c r="E611" s="1">
        <v>29</v>
      </c>
      <c r="F611" s="1">
        <f t="shared" si="11"/>
        <v>25.25</v>
      </c>
      <c r="G611" s="1">
        <v>46</v>
      </c>
      <c r="H611" s="1">
        <f t="shared" si="12"/>
        <v>45.5</v>
      </c>
      <c r="I611" s="1">
        <v>53</v>
      </c>
      <c r="J611" s="1">
        <f t="shared" si="13"/>
        <v>54.25</v>
      </c>
      <c r="M611" s="1">
        <v>2</v>
      </c>
      <c r="P611" s="1">
        <v>5</v>
      </c>
      <c r="Q611" s="1">
        <v>3</v>
      </c>
      <c r="R611" s="1">
        <v>5</v>
      </c>
      <c r="S611" s="1">
        <v>34</v>
      </c>
    </row>
    <row r="612" spans="1:19" x14ac:dyDescent="0.25">
      <c r="A612" s="12">
        <v>38960</v>
      </c>
      <c r="B612" s="14" t="s">
        <v>628</v>
      </c>
      <c r="C612" s="14"/>
      <c r="D612" s="14"/>
      <c r="E612" s="1">
        <v>19</v>
      </c>
      <c r="F612" s="1">
        <f t="shared" si="11"/>
        <v>23.25</v>
      </c>
      <c r="G612" s="1">
        <v>45</v>
      </c>
      <c r="H612" s="1">
        <f t="shared" si="12"/>
        <v>36.5</v>
      </c>
      <c r="I612" s="1">
        <v>57</v>
      </c>
      <c r="J612" s="1">
        <f t="shared" si="13"/>
        <v>46.5</v>
      </c>
      <c r="M612" s="1">
        <v>5</v>
      </c>
      <c r="P612" s="1">
        <v>6</v>
      </c>
      <c r="Q612" s="1">
        <v>6</v>
      </c>
      <c r="R612" s="1">
        <v>3</v>
      </c>
      <c r="S612" s="1">
        <v>35</v>
      </c>
    </row>
    <row r="613" spans="1:19" x14ac:dyDescent="0.25">
      <c r="A613" s="12">
        <v>38967</v>
      </c>
      <c r="B613" s="14" t="s">
        <v>629</v>
      </c>
      <c r="C613" s="14"/>
      <c r="D613" s="14"/>
      <c r="E613" s="1">
        <v>27</v>
      </c>
      <c r="F613" s="1">
        <f t="shared" si="11"/>
        <v>25.75</v>
      </c>
      <c r="G613" s="1">
        <v>37</v>
      </c>
      <c r="H613" s="1">
        <f t="shared" si="12"/>
        <v>37</v>
      </c>
      <c r="I613" s="1">
        <v>55</v>
      </c>
      <c r="J613" s="1">
        <f t="shared" si="13"/>
        <v>47.5</v>
      </c>
      <c r="M613" s="1">
        <v>8</v>
      </c>
      <c r="P613" s="1">
        <v>11</v>
      </c>
      <c r="Q613" s="1">
        <v>2</v>
      </c>
      <c r="R613" s="1">
        <v>1</v>
      </c>
      <c r="S613" s="1">
        <v>36</v>
      </c>
    </row>
    <row r="614" spans="1:19" x14ac:dyDescent="0.25">
      <c r="A614" s="12">
        <v>38974</v>
      </c>
      <c r="B614" s="14" t="s">
        <v>630</v>
      </c>
      <c r="C614" s="14"/>
      <c r="D614" s="14"/>
      <c r="E614" s="1">
        <v>29</v>
      </c>
      <c r="F614" s="1">
        <f t="shared" si="11"/>
        <v>25.75</v>
      </c>
      <c r="G614" s="1">
        <v>46</v>
      </c>
      <c r="H614" s="1">
        <f t="shared" si="12"/>
        <v>44.5</v>
      </c>
      <c r="I614" s="1">
        <v>63</v>
      </c>
      <c r="J614" s="1">
        <f t="shared" si="13"/>
        <v>56</v>
      </c>
      <c r="M614" s="1">
        <v>5</v>
      </c>
      <c r="P614" s="1">
        <v>6</v>
      </c>
      <c r="Q614" s="1">
        <v>6</v>
      </c>
      <c r="R614" s="1">
        <v>0</v>
      </c>
      <c r="S614" s="1">
        <v>37</v>
      </c>
    </row>
    <row r="615" spans="1:19" x14ac:dyDescent="0.25">
      <c r="A615" s="12">
        <v>38981</v>
      </c>
      <c r="B615" s="14" t="s">
        <v>631</v>
      </c>
      <c r="C615" s="14"/>
      <c r="D615" s="14"/>
      <c r="E615" s="1">
        <v>33</v>
      </c>
      <c r="F615" s="1">
        <f t="shared" si="11"/>
        <v>24.5</v>
      </c>
      <c r="G615" s="1">
        <v>45</v>
      </c>
      <c r="H615" s="1">
        <f t="shared" si="12"/>
        <v>39.75</v>
      </c>
      <c r="I615" s="1">
        <v>66</v>
      </c>
      <c r="J615" s="1">
        <f t="shared" si="13"/>
        <v>55.75</v>
      </c>
      <c r="M615" s="1">
        <v>9</v>
      </c>
      <c r="P615" s="1">
        <v>9</v>
      </c>
      <c r="Q615" s="1">
        <v>3</v>
      </c>
      <c r="R615" s="1">
        <v>1</v>
      </c>
      <c r="S615" s="1">
        <v>38</v>
      </c>
    </row>
    <row r="616" spans="1:19" x14ac:dyDescent="0.25">
      <c r="A616" s="12">
        <v>38988</v>
      </c>
      <c r="B616" s="14" t="s">
        <v>632</v>
      </c>
      <c r="C616" s="14"/>
      <c r="D616" s="14"/>
      <c r="E616" s="1">
        <v>24</v>
      </c>
      <c r="F616" s="1">
        <f t="shared" si="11"/>
        <v>24.75</v>
      </c>
      <c r="G616" s="1">
        <v>41</v>
      </c>
      <c r="H616" s="1">
        <f t="shared" si="12"/>
        <v>40.5</v>
      </c>
      <c r="I616" s="1">
        <v>58</v>
      </c>
      <c r="J616" s="1">
        <f t="shared" si="13"/>
        <v>68.5</v>
      </c>
      <c r="M616" s="1">
        <v>9</v>
      </c>
      <c r="P616" s="1">
        <v>4</v>
      </c>
      <c r="Q616" s="1">
        <v>6</v>
      </c>
      <c r="R616" s="1">
        <v>0</v>
      </c>
      <c r="S616" s="1">
        <v>39</v>
      </c>
    </row>
    <row r="617" spans="1:19" x14ac:dyDescent="0.25">
      <c r="A617" s="12">
        <v>38995</v>
      </c>
      <c r="B617" s="14" t="s">
        <v>633</v>
      </c>
      <c r="C617" s="14"/>
      <c r="D617" s="14"/>
      <c r="E617" s="1">
        <v>37</v>
      </c>
      <c r="F617" s="1">
        <f t="shared" si="11"/>
        <v>37.75</v>
      </c>
      <c r="G617" s="1">
        <v>42</v>
      </c>
      <c r="H617" s="1">
        <f t="shared" si="12"/>
        <v>47.5</v>
      </c>
      <c r="I617" s="1">
        <v>52</v>
      </c>
      <c r="J617" s="1">
        <f t="shared" si="13"/>
        <v>78.5</v>
      </c>
      <c r="M617" s="1">
        <v>6</v>
      </c>
      <c r="P617" s="1">
        <v>12</v>
      </c>
      <c r="Q617" s="1">
        <v>3</v>
      </c>
      <c r="R617" s="1">
        <v>0</v>
      </c>
      <c r="S617" s="1">
        <v>40</v>
      </c>
    </row>
    <row r="618" spans="1:19" x14ac:dyDescent="0.25">
      <c r="A618" s="12">
        <v>39002</v>
      </c>
      <c r="B618" s="14" t="s">
        <v>634</v>
      </c>
      <c r="C618" s="14"/>
      <c r="D618" s="14"/>
      <c r="E618" s="1">
        <v>29</v>
      </c>
      <c r="F618" s="1">
        <f t="shared" si="11"/>
        <v>38.75</v>
      </c>
      <c r="G618" s="1">
        <v>47</v>
      </c>
      <c r="H618" s="1">
        <f t="shared" si="12"/>
        <v>51.75</v>
      </c>
      <c r="I618" s="1">
        <v>53</v>
      </c>
      <c r="J618" s="1">
        <f t="shared" si="13"/>
        <v>73.5</v>
      </c>
      <c r="M618" s="1">
        <v>12</v>
      </c>
      <c r="P618" s="1">
        <v>5</v>
      </c>
      <c r="Q618" s="1">
        <v>6</v>
      </c>
      <c r="R618" s="1">
        <v>2</v>
      </c>
      <c r="S618" s="1">
        <v>41</v>
      </c>
    </row>
    <row r="619" spans="1:19" x14ac:dyDescent="0.25">
      <c r="A619" s="12">
        <v>39009</v>
      </c>
      <c r="B619" s="14" t="s">
        <v>635</v>
      </c>
      <c r="C619" s="14"/>
      <c r="D619" s="14"/>
      <c r="E619" s="1">
        <v>31</v>
      </c>
      <c r="F619" s="1">
        <f t="shared" si="11"/>
        <v>38.25</v>
      </c>
      <c r="G619" s="1">
        <v>43</v>
      </c>
      <c r="H619" s="1">
        <f t="shared" ref="H619:H650" si="14">AVERAGE(G567,G515,G463,G411)</f>
        <v>54</v>
      </c>
      <c r="I619" s="1">
        <v>65</v>
      </c>
      <c r="J619" s="1">
        <f t="shared" si="13"/>
        <v>74</v>
      </c>
      <c r="M619" s="1">
        <v>9</v>
      </c>
      <c r="P619" s="1">
        <v>10</v>
      </c>
      <c r="Q619" s="1">
        <v>5</v>
      </c>
      <c r="R619" s="1">
        <v>1</v>
      </c>
      <c r="S619" s="1">
        <v>42</v>
      </c>
    </row>
    <row r="620" spans="1:19" x14ac:dyDescent="0.25">
      <c r="A620" s="12">
        <v>39016</v>
      </c>
      <c r="B620" s="14" t="s">
        <v>636</v>
      </c>
      <c r="C620" s="14"/>
      <c r="D620" s="14"/>
      <c r="E620" s="1">
        <v>32</v>
      </c>
      <c r="F620" s="1">
        <f t="shared" si="11"/>
        <v>30.75</v>
      </c>
      <c r="G620" s="1">
        <v>42</v>
      </c>
      <c r="H620" s="1">
        <f t="shared" si="14"/>
        <v>55.25</v>
      </c>
      <c r="I620" s="1">
        <v>62</v>
      </c>
      <c r="J620" s="1">
        <f t="shared" si="13"/>
        <v>74.25</v>
      </c>
      <c r="M620" s="1">
        <v>7</v>
      </c>
      <c r="P620" s="1">
        <v>8</v>
      </c>
      <c r="Q620" s="1">
        <v>3</v>
      </c>
      <c r="R620" s="1">
        <v>0</v>
      </c>
      <c r="S620" s="1">
        <v>43</v>
      </c>
    </row>
    <row r="621" spans="1:19" x14ac:dyDescent="0.25">
      <c r="A621" s="12">
        <v>39023</v>
      </c>
      <c r="B621" s="14" t="s">
        <v>637</v>
      </c>
      <c r="C621" s="14"/>
      <c r="D621" s="14"/>
      <c r="E621" s="1">
        <v>40</v>
      </c>
      <c r="F621" s="1">
        <f t="shared" si="11"/>
        <v>41.75</v>
      </c>
      <c r="G621" s="1">
        <v>46</v>
      </c>
      <c r="H621" s="1">
        <f t="shared" si="14"/>
        <v>51.75</v>
      </c>
      <c r="I621" s="1">
        <v>59</v>
      </c>
      <c r="J621" s="1">
        <f t="shared" si="13"/>
        <v>75.5</v>
      </c>
      <c r="M621" s="1">
        <v>10</v>
      </c>
      <c r="P621" s="1">
        <v>9</v>
      </c>
      <c r="Q621" s="1">
        <v>9</v>
      </c>
      <c r="R621" s="1">
        <v>0</v>
      </c>
      <c r="S621" s="1">
        <v>44</v>
      </c>
    </row>
    <row r="622" spans="1:19" x14ac:dyDescent="0.25">
      <c r="A622" s="12">
        <v>39030</v>
      </c>
      <c r="B622" s="14" t="s">
        <v>638</v>
      </c>
      <c r="C622" s="14"/>
      <c r="D622" s="14"/>
      <c r="E622" s="1">
        <v>30</v>
      </c>
      <c r="F622" s="1">
        <f t="shared" si="11"/>
        <v>38.25</v>
      </c>
      <c r="G622" s="1">
        <v>40</v>
      </c>
      <c r="H622" s="1">
        <f t="shared" si="14"/>
        <v>52.75</v>
      </c>
      <c r="I622" s="1">
        <v>53</v>
      </c>
      <c r="J622" s="1">
        <f t="shared" si="13"/>
        <v>70.75</v>
      </c>
      <c r="M622" s="1">
        <v>11</v>
      </c>
      <c r="P622" s="1">
        <v>7</v>
      </c>
      <c r="Q622" s="1">
        <v>7</v>
      </c>
      <c r="R622" s="1">
        <v>4</v>
      </c>
      <c r="S622" s="1">
        <v>45</v>
      </c>
    </row>
    <row r="623" spans="1:19" x14ac:dyDescent="0.25">
      <c r="A623" s="12">
        <v>39037</v>
      </c>
      <c r="B623" s="14" t="s">
        <v>639</v>
      </c>
      <c r="C623" s="14"/>
      <c r="D623" s="14"/>
      <c r="E623" s="1">
        <v>38</v>
      </c>
      <c r="F623" s="1">
        <f t="shared" si="11"/>
        <v>34.75</v>
      </c>
      <c r="G623" s="1">
        <v>44</v>
      </c>
      <c r="H623" s="1">
        <f t="shared" si="14"/>
        <v>53</v>
      </c>
      <c r="I623" s="1">
        <v>68</v>
      </c>
      <c r="J623" s="1">
        <f t="shared" si="13"/>
        <v>66.5</v>
      </c>
      <c r="M623" s="1">
        <v>11</v>
      </c>
      <c r="P623" s="1">
        <v>7</v>
      </c>
      <c r="Q623" s="1">
        <v>5</v>
      </c>
      <c r="R623" s="1">
        <v>1</v>
      </c>
      <c r="S623" s="1">
        <v>46</v>
      </c>
    </row>
    <row r="624" spans="1:19" x14ac:dyDescent="0.25">
      <c r="A624" s="12">
        <v>39044</v>
      </c>
      <c r="B624" s="14" t="s">
        <v>640</v>
      </c>
      <c r="C624" s="14"/>
      <c r="D624" s="14"/>
      <c r="E624" s="1">
        <v>40</v>
      </c>
      <c r="F624" s="1">
        <f t="shared" si="11"/>
        <v>34.5</v>
      </c>
      <c r="G624" s="1">
        <v>49</v>
      </c>
      <c r="H624" s="1">
        <f t="shared" si="14"/>
        <v>55</v>
      </c>
      <c r="I624" s="1">
        <v>62</v>
      </c>
      <c r="J624" s="1">
        <f t="shared" si="13"/>
        <v>58.5</v>
      </c>
      <c r="M624" s="1">
        <v>9</v>
      </c>
      <c r="P624" s="1">
        <v>11</v>
      </c>
      <c r="Q624" s="1">
        <v>3</v>
      </c>
      <c r="R624" s="1">
        <v>2</v>
      </c>
      <c r="S624" s="1">
        <v>47</v>
      </c>
    </row>
    <row r="625" spans="1:19" x14ac:dyDescent="0.25">
      <c r="A625" s="12">
        <v>39051</v>
      </c>
      <c r="B625" s="14" t="s">
        <v>641</v>
      </c>
      <c r="C625" s="14"/>
      <c r="D625" s="14"/>
      <c r="E625" s="1">
        <v>31</v>
      </c>
      <c r="F625" s="1">
        <f t="shared" si="11"/>
        <v>31.5</v>
      </c>
      <c r="G625" s="1">
        <v>47</v>
      </c>
      <c r="H625" s="1">
        <f t="shared" si="14"/>
        <v>51.5</v>
      </c>
      <c r="I625" s="1">
        <v>54</v>
      </c>
      <c r="J625" s="1">
        <f t="shared" si="13"/>
        <v>70.5</v>
      </c>
      <c r="M625" s="1">
        <v>7</v>
      </c>
      <c r="P625" s="1">
        <v>8</v>
      </c>
      <c r="Q625" s="1">
        <v>3</v>
      </c>
      <c r="R625" s="1">
        <v>4</v>
      </c>
      <c r="S625" s="1">
        <v>48</v>
      </c>
    </row>
    <row r="626" spans="1:19" x14ac:dyDescent="0.25">
      <c r="A626" s="12">
        <v>39058</v>
      </c>
      <c r="B626" s="14" t="s">
        <v>642</v>
      </c>
      <c r="C626" s="14"/>
      <c r="D626" s="14"/>
      <c r="E626" s="1">
        <v>19</v>
      </c>
      <c r="F626" s="1">
        <f t="shared" si="11"/>
        <v>29</v>
      </c>
      <c r="G626" s="1">
        <v>47</v>
      </c>
      <c r="H626" s="1">
        <f t="shared" si="14"/>
        <v>48.75</v>
      </c>
      <c r="I626" s="1">
        <v>67</v>
      </c>
      <c r="J626" s="1">
        <f t="shared" si="13"/>
        <v>69.75</v>
      </c>
      <c r="M626" s="1">
        <v>3</v>
      </c>
      <c r="P626" s="1">
        <v>7</v>
      </c>
      <c r="Q626" s="1">
        <v>4</v>
      </c>
      <c r="R626" s="1">
        <v>0</v>
      </c>
      <c r="S626" s="1">
        <v>49</v>
      </c>
    </row>
    <row r="627" spans="1:19" x14ac:dyDescent="0.25">
      <c r="A627" s="12">
        <v>39065</v>
      </c>
      <c r="B627" s="14" t="s">
        <v>643</v>
      </c>
      <c r="C627" s="14"/>
      <c r="D627" s="14"/>
      <c r="E627" s="1">
        <v>30</v>
      </c>
      <c r="F627" s="1">
        <f t="shared" si="11"/>
        <v>31</v>
      </c>
      <c r="G627" s="1">
        <v>41</v>
      </c>
      <c r="H627" s="1">
        <f t="shared" si="14"/>
        <v>53</v>
      </c>
      <c r="I627" s="1">
        <v>56</v>
      </c>
      <c r="J627" s="1">
        <f t="shared" si="13"/>
        <v>74</v>
      </c>
      <c r="M627" s="1">
        <v>6</v>
      </c>
      <c r="P627" s="1">
        <v>7</v>
      </c>
      <c r="Q627" s="1">
        <v>3</v>
      </c>
      <c r="R627" s="1">
        <v>1</v>
      </c>
      <c r="S627" s="1">
        <v>50</v>
      </c>
    </row>
    <row r="628" spans="1:19" x14ac:dyDescent="0.25">
      <c r="A628" s="12">
        <v>39072</v>
      </c>
      <c r="B628" s="14" t="s">
        <v>644</v>
      </c>
      <c r="C628" s="14"/>
      <c r="D628" s="14"/>
      <c r="E628" s="1">
        <v>32</v>
      </c>
      <c r="F628" s="1">
        <f t="shared" ref="F628:F762" si="15">AVERAGE(E576,E524,E472,E420)</f>
        <v>31.25</v>
      </c>
      <c r="G628" s="1">
        <v>34</v>
      </c>
      <c r="H628" s="1">
        <f t="shared" si="14"/>
        <v>50.25</v>
      </c>
      <c r="I628" s="1">
        <v>58</v>
      </c>
      <c r="J628" s="1">
        <f t="shared" si="13"/>
        <v>67</v>
      </c>
      <c r="M628" s="1">
        <v>11</v>
      </c>
      <c r="P628" s="1">
        <v>9</v>
      </c>
      <c r="Q628" s="1">
        <v>2</v>
      </c>
      <c r="R628" s="1">
        <v>1</v>
      </c>
      <c r="S628" s="1">
        <v>51</v>
      </c>
    </row>
    <row r="629" spans="1:19" x14ac:dyDescent="0.25">
      <c r="A629" s="12">
        <v>39079</v>
      </c>
      <c r="B629" s="14" t="s">
        <v>645</v>
      </c>
      <c r="C629" s="14"/>
      <c r="D629" s="14"/>
      <c r="E629" s="1">
        <v>37</v>
      </c>
      <c r="F629" s="1">
        <f t="shared" si="15"/>
        <v>35.5</v>
      </c>
      <c r="G629" s="1">
        <v>34</v>
      </c>
      <c r="H629" s="1">
        <f t="shared" si="14"/>
        <v>42</v>
      </c>
      <c r="I629" s="1">
        <v>73</v>
      </c>
      <c r="J629" s="1">
        <f t="shared" si="13"/>
        <v>68.5</v>
      </c>
      <c r="M629" s="1">
        <v>10</v>
      </c>
      <c r="P629" s="1">
        <v>10</v>
      </c>
      <c r="Q629" s="1">
        <v>2</v>
      </c>
      <c r="R629" s="1">
        <v>0</v>
      </c>
      <c r="S629" s="1">
        <v>52</v>
      </c>
    </row>
    <row r="630" spans="1:19" x14ac:dyDescent="0.25">
      <c r="A630" s="12">
        <v>39086</v>
      </c>
      <c r="B630" s="14" t="s">
        <v>646</v>
      </c>
      <c r="C630" s="14"/>
      <c r="D630" s="14"/>
      <c r="E630" s="1">
        <v>38</v>
      </c>
      <c r="F630" s="1">
        <f t="shared" si="15"/>
        <v>35</v>
      </c>
      <c r="G630" s="1">
        <v>39</v>
      </c>
      <c r="H630" s="1">
        <f t="shared" si="14"/>
        <v>49</v>
      </c>
      <c r="I630" s="1">
        <v>71</v>
      </c>
      <c r="J630" s="1">
        <f t="shared" si="13"/>
        <v>73</v>
      </c>
      <c r="M630" s="1">
        <v>12</v>
      </c>
      <c r="P630" s="1">
        <v>8</v>
      </c>
      <c r="Q630" s="1">
        <v>5</v>
      </c>
      <c r="R630" s="1">
        <v>2</v>
      </c>
      <c r="S630" s="1">
        <v>1</v>
      </c>
    </row>
    <row r="631" spans="1:19" x14ac:dyDescent="0.25">
      <c r="A631" s="12">
        <v>39093</v>
      </c>
      <c r="B631" s="14" t="s">
        <v>647</v>
      </c>
      <c r="C631" s="14"/>
      <c r="D631" s="14"/>
      <c r="E631" s="1">
        <v>38</v>
      </c>
      <c r="F631" s="1">
        <f t="shared" si="15"/>
        <v>36.5</v>
      </c>
      <c r="G631" s="1">
        <v>46</v>
      </c>
      <c r="H631" s="1">
        <f t="shared" si="14"/>
        <v>52.75</v>
      </c>
      <c r="I631" s="1">
        <v>87</v>
      </c>
      <c r="J631" s="1">
        <f t="shared" si="13"/>
        <v>73.75</v>
      </c>
      <c r="M631" s="1">
        <v>14</v>
      </c>
      <c r="P631" s="1">
        <v>10</v>
      </c>
      <c r="Q631" s="1">
        <v>3</v>
      </c>
      <c r="R631" s="1">
        <v>3</v>
      </c>
      <c r="S631" s="1">
        <v>2</v>
      </c>
    </row>
    <row r="632" spans="1:19" x14ac:dyDescent="0.25">
      <c r="A632" s="12">
        <v>39100</v>
      </c>
      <c r="B632" s="14" t="s">
        <v>648</v>
      </c>
      <c r="C632" s="14"/>
      <c r="D632" s="14"/>
      <c r="E632" s="1">
        <v>36</v>
      </c>
      <c r="F632" s="1">
        <f t="shared" si="15"/>
        <v>33</v>
      </c>
      <c r="G632" s="1">
        <v>51</v>
      </c>
      <c r="H632" s="1">
        <f t="shared" si="14"/>
        <v>55.5</v>
      </c>
      <c r="I632" s="1">
        <v>73</v>
      </c>
      <c r="J632" s="1">
        <f t="shared" si="13"/>
        <v>71.75</v>
      </c>
      <c r="M632" s="1">
        <v>7</v>
      </c>
      <c r="P632" s="1">
        <v>15</v>
      </c>
      <c r="Q632" s="1">
        <v>3</v>
      </c>
      <c r="R632" s="1">
        <v>6</v>
      </c>
      <c r="S632" s="1">
        <v>3</v>
      </c>
    </row>
    <row r="633" spans="1:19" x14ac:dyDescent="0.25">
      <c r="A633" s="12">
        <v>39107</v>
      </c>
      <c r="B633" s="14" t="s">
        <v>649</v>
      </c>
      <c r="C633" s="14"/>
      <c r="D633" s="14"/>
      <c r="E633" s="1">
        <v>48</v>
      </c>
      <c r="F633" s="1">
        <f t="shared" si="15"/>
        <v>31.75</v>
      </c>
      <c r="G633" s="1">
        <v>45</v>
      </c>
      <c r="H633" s="1">
        <f t="shared" si="14"/>
        <v>54.75</v>
      </c>
      <c r="I633" s="1">
        <v>66</v>
      </c>
      <c r="J633" s="1">
        <f t="shared" si="13"/>
        <v>68.75</v>
      </c>
      <c r="M633" s="1">
        <v>4</v>
      </c>
      <c r="P633" s="1">
        <v>12</v>
      </c>
      <c r="Q633" s="1">
        <v>1</v>
      </c>
      <c r="R633" s="1">
        <v>4</v>
      </c>
      <c r="S633" s="1">
        <v>4</v>
      </c>
    </row>
    <row r="634" spans="1:19" x14ac:dyDescent="0.25">
      <c r="A634" s="12">
        <v>39114</v>
      </c>
      <c r="B634" s="14" t="s">
        <v>650</v>
      </c>
      <c r="C634" s="14"/>
      <c r="D634" s="14"/>
      <c r="E634" s="1">
        <v>53</v>
      </c>
      <c r="F634" s="1">
        <f t="shared" si="15"/>
        <v>38.5</v>
      </c>
      <c r="G634" s="1">
        <v>51</v>
      </c>
      <c r="H634" s="1">
        <f t="shared" si="14"/>
        <v>46.75</v>
      </c>
      <c r="I634" s="1">
        <v>76</v>
      </c>
      <c r="J634" s="1">
        <f t="shared" si="13"/>
        <v>60</v>
      </c>
      <c r="M634" s="1">
        <v>6</v>
      </c>
      <c r="P634" s="1">
        <v>12</v>
      </c>
      <c r="Q634" s="1">
        <v>6</v>
      </c>
      <c r="R634" s="1">
        <v>0</v>
      </c>
      <c r="S634" s="1">
        <v>5</v>
      </c>
    </row>
    <row r="635" spans="1:19" x14ac:dyDescent="0.25">
      <c r="A635" s="12">
        <v>39121</v>
      </c>
      <c r="B635" s="14" t="s">
        <v>651</v>
      </c>
      <c r="C635" s="14"/>
      <c r="D635" s="14"/>
      <c r="E635" s="1">
        <v>48</v>
      </c>
      <c r="F635" s="1">
        <f t="shared" si="15"/>
        <v>38</v>
      </c>
      <c r="G635" s="1">
        <v>45</v>
      </c>
      <c r="H635" s="1">
        <f t="shared" si="14"/>
        <v>45.75</v>
      </c>
      <c r="I635" s="1">
        <v>68</v>
      </c>
      <c r="J635" s="1">
        <f t="shared" si="13"/>
        <v>62</v>
      </c>
      <c r="M635" s="1">
        <v>11</v>
      </c>
      <c r="P635" s="1">
        <v>8</v>
      </c>
      <c r="Q635" s="1">
        <v>8</v>
      </c>
      <c r="R635" s="1">
        <v>1</v>
      </c>
      <c r="S635" s="1">
        <v>6</v>
      </c>
    </row>
    <row r="636" spans="1:19" x14ac:dyDescent="0.25">
      <c r="A636" s="12">
        <v>39128</v>
      </c>
      <c r="B636" s="14" t="s">
        <v>652</v>
      </c>
      <c r="C636" s="14"/>
      <c r="D636" s="14"/>
      <c r="E636" s="1">
        <v>55</v>
      </c>
      <c r="F636" s="1">
        <f t="shared" si="15"/>
        <v>36.75</v>
      </c>
      <c r="G636" s="1">
        <v>46</v>
      </c>
      <c r="H636" s="1">
        <f t="shared" si="14"/>
        <v>49</v>
      </c>
      <c r="I636" s="1">
        <v>65</v>
      </c>
      <c r="J636" s="1">
        <f t="shared" si="13"/>
        <v>63.75</v>
      </c>
      <c r="M636" s="1">
        <v>16</v>
      </c>
      <c r="P636" s="1">
        <v>9</v>
      </c>
      <c r="Q636" s="1">
        <v>2</v>
      </c>
      <c r="R636" s="1">
        <v>1</v>
      </c>
      <c r="S636" s="1">
        <v>7</v>
      </c>
    </row>
    <row r="637" spans="1:19" x14ac:dyDescent="0.25">
      <c r="A637" s="12">
        <v>39135</v>
      </c>
      <c r="B637" s="14" t="s">
        <v>653</v>
      </c>
      <c r="C637" s="14"/>
      <c r="D637" s="14"/>
      <c r="E637" s="1">
        <v>53</v>
      </c>
      <c r="F637" s="1">
        <f t="shared" si="15"/>
        <v>31</v>
      </c>
      <c r="G637" s="1">
        <v>44</v>
      </c>
      <c r="H637" s="1">
        <f t="shared" si="14"/>
        <v>46.75</v>
      </c>
      <c r="I637" s="1">
        <v>57</v>
      </c>
      <c r="J637" s="1">
        <f t="shared" si="13"/>
        <v>64.25</v>
      </c>
      <c r="M637" s="1">
        <v>13</v>
      </c>
      <c r="P637" s="1">
        <v>8</v>
      </c>
      <c r="Q637" s="1">
        <v>3</v>
      </c>
      <c r="R637" s="1">
        <v>0</v>
      </c>
      <c r="S637" s="1">
        <v>8</v>
      </c>
    </row>
    <row r="638" spans="1:19" x14ac:dyDescent="0.25">
      <c r="A638" s="12">
        <v>39142</v>
      </c>
      <c r="B638" s="14" t="s">
        <v>654</v>
      </c>
      <c r="C638" s="14"/>
      <c r="D638" s="14"/>
      <c r="E638" s="1">
        <v>40</v>
      </c>
      <c r="F638" s="1">
        <f t="shared" si="15"/>
        <v>34.25</v>
      </c>
      <c r="G638" s="1">
        <v>48</v>
      </c>
      <c r="H638" s="1">
        <f t="shared" si="14"/>
        <v>52.75</v>
      </c>
      <c r="I638" s="1">
        <v>59</v>
      </c>
      <c r="J638" s="1">
        <f t="shared" si="13"/>
        <v>58.75</v>
      </c>
      <c r="M638" s="1">
        <v>6</v>
      </c>
      <c r="P638" s="1">
        <v>5</v>
      </c>
      <c r="Q638" s="1">
        <v>6</v>
      </c>
      <c r="R638" s="1">
        <v>2</v>
      </c>
      <c r="S638" s="1">
        <v>9</v>
      </c>
    </row>
    <row r="639" spans="1:19" x14ac:dyDescent="0.25">
      <c r="A639" s="12">
        <v>39149</v>
      </c>
      <c r="B639" s="14" t="s">
        <v>655</v>
      </c>
      <c r="C639" s="14"/>
      <c r="D639" s="14"/>
      <c r="E639" s="1">
        <v>34</v>
      </c>
      <c r="F639" s="1">
        <f t="shared" si="15"/>
        <v>26</v>
      </c>
      <c r="G639" s="1">
        <v>45</v>
      </c>
      <c r="H639" s="1">
        <f t="shared" si="14"/>
        <v>48.75</v>
      </c>
      <c r="I639" s="1">
        <v>53</v>
      </c>
      <c r="J639" s="1">
        <f t="shared" si="13"/>
        <v>58</v>
      </c>
      <c r="M639" s="1">
        <v>6</v>
      </c>
      <c r="P639" s="1">
        <v>4</v>
      </c>
      <c r="Q639" s="1">
        <v>3</v>
      </c>
      <c r="R639" s="1">
        <v>7</v>
      </c>
      <c r="S639" s="1">
        <v>10</v>
      </c>
    </row>
    <row r="640" spans="1:19" x14ac:dyDescent="0.25">
      <c r="A640" s="12">
        <v>39156</v>
      </c>
      <c r="B640" s="14" t="s">
        <v>656</v>
      </c>
      <c r="C640" s="14"/>
      <c r="D640" s="14"/>
      <c r="E640" s="1">
        <v>23</v>
      </c>
      <c r="F640" s="1">
        <f t="shared" si="15"/>
        <v>28</v>
      </c>
      <c r="G640" s="1">
        <v>42</v>
      </c>
      <c r="H640" s="1">
        <f t="shared" si="14"/>
        <v>45.25</v>
      </c>
      <c r="I640" s="1">
        <v>54</v>
      </c>
      <c r="J640" s="1">
        <f t="shared" si="13"/>
        <v>55.75</v>
      </c>
      <c r="M640" s="1">
        <v>7</v>
      </c>
      <c r="P640" s="2" t="s">
        <v>551</v>
      </c>
      <c r="Q640" s="2" t="s">
        <v>551</v>
      </c>
      <c r="R640" s="2" t="s">
        <v>551</v>
      </c>
      <c r="S640" s="1">
        <v>11</v>
      </c>
    </row>
    <row r="641" spans="1:19" x14ac:dyDescent="0.25">
      <c r="A641" s="12">
        <v>39163</v>
      </c>
      <c r="B641" s="14" t="s">
        <v>657</v>
      </c>
      <c r="C641" s="14"/>
      <c r="D641" s="14"/>
      <c r="E641" s="1">
        <v>26</v>
      </c>
      <c r="F641" s="1">
        <f t="shared" si="15"/>
        <v>20.5</v>
      </c>
      <c r="G641" s="1">
        <v>40</v>
      </c>
      <c r="H641" s="1">
        <f t="shared" si="14"/>
        <v>46.75</v>
      </c>
      <c r="I641" s="1">
        <v>42</v>
      </c>
      <c r="J641" s="1">
        <f t="shared" si="13"/>
        <v>53.25</v>
      </c>
      <c r="M641" s="1">
        <v>10</v>
      </c>
      <c r="P641" s="1">
        <v>7</v>
      </c>
      <c r="Q641" s="1">
        <v>7</v>
      </c>
      <c r="R641" s="1">
        <v>1</v>
      </c>
      <c r="S641" s="1">
        <v>12</v>
      </c>
    </row>
    <row r="642" spans="1:19" x14ac:dyDescent="0.25">
      <c r="A642" s="12">
        <v>39170</v>
      </c>
      <c r="B642" s="14" t="s">
        <v>658</v>
      </c>
      <c r="C642" s="14"/>
      <c r="D642" s="14"/>
      <c r="E642" s="1">
        <v>21</v>
      </c>
      <c r="F642" s="1">
        <f t="shared" si="15"/>
        <v>17.25</v>
      </c>
      <c r="G642" s="1">
        <v>35</v>
      </c>
      <c r="H642" s="1">
        <f t="shared" si="14"/>
        <v>38.25</v>
      </c>
      <c r="I642" s="1">
        <v>40</v>
      </c>
      <c r="J642" s="1">
        <f t="shared" si="13"/>
        <v>49.75</v>
      </c>
      <c r="M642" s="1">
        <v>6</v>
      </c>
      <c r="P642" s="1">
        <v>5</v>
      </c>
      <c r="Q642" s="1">
        <v>7</v>
      </c>
      <c r="R642" s="1">
        <v>2</v>
      </c>
      <c r="S642" s="1">
        <v>13</v>
      </c>
    </row>
    <row r="643" spans="1:19" x14ac:dyDescent="0.25">
      <c r="A643" s="12">
        <v>39177</v>
      </c>
      <c r="B643" s="14" t="s">
        <v>659</v>
      </c>
      <c r="C643" s="14"/>
      <c r="D643" s="14"/>
      <c r="E643" s="1">
        <v>20</v>
      </c>
      <c r="F643" s="1">
        <f t="shared" si="15"/>
        <v>19</v>
      </c>
      <c r="G643" s="1">
        <v>27</v>
      </c>
      <c r="H643" s="1">
        <f t="shared" si="14"/>
        <v>39</v>
      </c>
      <c r="I643" s="1">
        <v>46</v>
      </c>
      <c r="J643" s="1">
        <f t="shared" si="13"/>
        <v>47.75</v>
      </c>
      <c r="M643" s="1">
        <v>10</v>
      </c>
      <c r="P643" s="1">
        <v>7</v>
      </c>
      <c r="Q643" s="1">
        <v>3</v>
      </c>
      <c r="R643" s="1">
        <v>1</v>
      </c>
      <c r="S643" s="1">
        <v>14</v>
      </c>
    </row>
    <row r="644" spans="1:19" x14ac:dyDescent="0.25">
      <c r="A644" s="12">
        <v>39184</v>
      </c>
      <c r="B644" s="14" t="s">
        <v>660</v>
      </c>
      <c r="C644" s="14"/>
      <c r="D644" s="14"/>
      <c r="E644" s="1">
        <v>17</v>
      </c>
      <c r="F644" s="1">
        <f t="shared" si="15"/>
        <v>16.25</v>
      </c>
      <c r="G644" s="1">
        <v>30</v>
      </c>
      <c r="H644" s="1">
        <f t="shared" si="14"/>
        <v>32.25</v>
      </c>
      <c r="I644" s="1">
        <v>39</v>
      </c>
      <c r="J644" s="1">
        <f t="shared" si="13"/>
        <v>48.75</v>
      </c>
      <c r="M644" s="1">
        <v>6</v>
      </c>
      <c r="P644" s="2" t="s">
        <v>551</v>
      </c>
      <c r="Q644" s="2" t="s">
        <v>551</v>
      </c>
      <c r="R644" s="2" t="s">
        <v>551</v>
      </c>
      <c r="S644" s="1">
        <v>15</v>
      </c>
    </row>
    <row r="645" spans="1:19" x14ac:dyDescent="0.25">
      <c r="A645" s="12">
        <v>39191</v>
      </c>
      <c r="B645" s="14" t="s">
        <v>661</v>
      </c>
      <c r="C645" s="14"/>
      <c r="D645" s="14"/>
      <c r="E645" s="1">
        <v>22</v>
      </c>
      <c r="F645" s="1">
        <f t="shared" si="15"/>
        <v>20</v>
      </c>
      <c r="G645" s="1">
        <v>33</v>
      </c>
      <c r="H645" s="1">
        <f t="shared" si="14"/>
        <v>36.5</v>
      </c>
      <c r="I645" s="1">
        <v>47</v>
      </c>
      <c r="J645" s="1">
        <f t="shared" si="13"/>
        <v>44.25</v>
      </c>
      <c r="M645" s="1">
        <v>8</v>
      </c>
      <c r="P645" s="1">
        <v>7</v>
      </c>
      <c r="Q645" s="1">
        <v>3</v>
      </c>
      <c r="R645" s="1">
        <v>4</v>
      </c>
      <c r="S645" s="1">
        <v>16</v>
      </c>
    </row>
    <row r="646" spans="1:19" x14ac:dyDescent="0.25">
      <c r="A646" s="12">
        <v>39198</v>
      </c>
      <c r="B646" s="14" t="s">
        <v>662</v>
      </c>
      <c r="C646" s="14"/>
      <c r="D646" s="14"/>
      <c r="E646" s="1">
        <v>29</v>
      </c>
      <c r="F646" s="1">
        <f t="shared" si="15"/>
        <v>20.5</v>
      </c>
      <c r="G646" s="1">
        <v>35</v>
      </c>
      <c r="H646" s="1">
        <f t="shared" si="14"/>
        <v>38</v>
      </c>
      <c r="I646" s="1">
        <v>52</v>
      </c>
      <c r="J646" s="1">
        <f t="shared" si="13"/>
        <v>44</v>
      </c>
      <c r="M646" s="1">
        <v>6</v>
      </c>
      <c r="P646" s="2">
        <v>14</v>
      </c>
      <c r="Q646" s="2">
        <v>5</v>
      </c>
      <c r="R646" s="2">
        <v>0</v>
      </c>
      <c r="S646" s="1">
        <v>17</v>
      </c>
    </row>
    <row r="647" spans="1:19" x14ac:dyDescent="0.25">
      <c r="A647" s="12">
        <v>39205</v>
      </c>
      <c r="B647" s="14" t="s">
        <v>663</v>
      </c>
      <c r="C647" s="14"/>
      <c r="D647" s="14"/>
      <c r="E647" s="1">
        <v>21</v>
      </c>
      <c r="F647" s="1">
        <f t="shared" si="15"/>
        <v>15.75</v>
      </c>
      <c r="G647" s="1">
        <v>45</v>
      </c>
      <c r="H647" s="1">
        <f t="shared" si="14"/>
        <v>34.25</v>
      </c>
      <c r="I647" s="1">
        <v>61</v>
      </c>
      <c r="J647" s="1">
        <f t="shared" si="13"/>
        <v>55.25</v>
      </c>
      <c r="M647" s="1">
        <v>6</v>
      </c>
      <c r="P647" s="1">
        <v>7</v>
      </c>
      <c r="Q647" s="1">
        <v>12</v>
      </c>
      <c r="R647" s="1">
        <v>1</v>
      </c>
      <c r="S647" s="1">
        <v>18</v>
      </c>
    </row>
    <row r="648" spans="1:19" x14ac:dyDescent="0.25">
      <c r="A648" s="12">
        <v>39212</v>
      </c>
      <c r="B648" s="14" t="s">
        <v>664</v>
      </c>
      <c r="C648" s="14"/>
      <c r="D648" s="14"/>
      <c r="E648" s="1">
        <v>21</v>
      </c>
      <c r="F648" s="1">
        <f t="shared" si="15"/>
        <v>19.5</v>
      </c>
      <c r="G648" s="1">
        <v>37</v>
      </c>
      <c r="H648" s="1">
        <f t="shared" si="14"/>
        <v>35.5</v>
      </c>
      <c r="I648" s="1">
        <v>39</v>
      </c>
      <c r="J648" s="1">
        <f t="shared" si="13"/>
        <v>50.25</v>
      </c>
      <c r="M648" s="1">
        <v>9</v>
      </c>
      <c r="P648" s="1">
        <v>5</v>
      </c>
      <c r="Q648" s="1">
        <v>4</v>
      </c>
      <c r="R648" s="1">
        <v>3</v>
      </c>
      <c r="S648" s="1">
        <v>19</v>
      </c>
    </row>
    <row r="649" spans="1:19" x14ac:dyDescent="0.25">
      <c r="A649" s="12">
        <v>39219</v>
      </c>
      <c r="B649" s="14" t="s">
        <v>665</v>
      </c>
      <c r="C649" s="14"/>
      <c r="D649" s="14"/>
      <c r="E649" s="1">
        <v>18</v>
      </c>
      <c r="F649" s="1">
        <f t="shared" si="15"/>
        <v>19.75</v>
      </c>
      <c r="G649" s="1">
        <v>36</v>
      </c>
      <c r="H649" s="1">
        <f t="shared" si="14"/>
        <v>36</v>
      </c>
      <c r="I649" s="1">
        <v>49</v>
      </c>
      <c r="J649" s="1">
        <f t="shared" si="13"/>
        <v>49.25</v>
      </c>
      <c r="M649" s="1">
        <v>7</v>
      </c>
      <c r="P649" s="1">
        <v>4</v>
      </c>
      <c r="Q649" s="1">
        <v>7</v>
      </c>
      <c r="R649" s="1">
        <v>0</v>
      </c>
      <c r="S649" s="1">
        <v>20</v>
      </c>
    </row>
    <row r="650" spans="1:19" x14ac:dyDescent="0.25">
      <c r="A650" s="12">
        <v>39226</v>
      </c>
      <c r="B650" s="14" t="s">
        <v>666</v>
      </c>
      <c r="C650" s="14"/>
      <c r="D650" s="14"/>
      <c r="E650" s="1">
        <v>15</v>
      </c>
      <c r="F650" s="1">
        <f t="shared" si="15"/>
        <v>18.75</v>
      </c>
      <c r="G650" s="1">
        <v>37</v>
      </c>
      <c r="H650" s="1">
        <f t="shared" si="14"/>
        <v>37</v>
      </c>
      <c r="I650" s="1">
        <v>48</v>
      </c>
      <c r="J650" s="1">
        <f t="shared" si="13"/>
        <v>49</v>
      </c>
      <c r="M650" s="1">
        <v>3</v>
      </c>
      <c r="P650" s="1">
        <v>6</v>
      </c>
      <c r="Q650" s="1">
        <v>3</v>
      </c>
      <c r="R650" s="1">
        <v>3</v>
      </c>
      <c r="S650" s="1">
        <v>21</v>
      </c>
    </row>
    <row r="651" spans="1:19" x14ac:dyDescent="0.25">
      <c r="A651" s="12">
        <v>39233</v>
      </c>
      <c r="B651" s="14" t="s">
        <v>667</v>
      </c>
      <c r="C651" s="14"/>
      <c r="D651" s="14"/>
      <c r="E651" s="1">
        <v>24</v>
      </c>
      <c r="F651" s="1">
        <f t="shared" si="15"/>
        <v>21.5</v>
      </c>
      <c r="G651" s="1">
        <v>34</v>
      </c>
      <c r="H651" s="1">
        <f t="shared" ref="H651:H682" si="16">AVERAGE(G599,G547,G495,G443)</f>
        <v>35.75</v>
      </c>
      <c r="I651" s="1">
        <v>45</v>
      </c>
      <c r="J651" s="1">
        <f t="shared" si="13"/>
        <v>45.5</v>
      </c>
      <c r="M651" s="1">
        <v>3</v>
      </c>
      <c r="P651" s="1">
        <v>3</v>
      </c>
      <c r="Q651" s="1">
        <v>10</v>
      </c>
      <c r="R651" s="1">
        <v>0</v>
      </c>
      <c r="S651" s="1">
        <v>22</v>
      </c>
    </row>
    <row r="652" spans="1:19" x14ac:dyDescent="0.25">
      <c r="A652" s="12">
        <v>39240</v>
      </c>
      <c r="B652" s="14" t="s">
        <v>668</v>
      </c>
      <c r="C652" s="14"/>
      <c r="D652" s="14"/>
      <c r="E652" s="1">
        <v>25</v>
      </c>
      <c r="F652" s="1">
        <f t="shared" si="15"/>
        <v>17.25</v>
      </c>
      <c r="G652" s="1">
        <v>29</v>
      </c>
      <c r="H652" s="1">
        <f t="shared" si="16"/>
        <v>36.75</v>
      </c>
      <c r="I652" s="1">
        <v>44</v>
      </c>
      <c r="J652" s="1">
        <f t="shared" si="13"/>
        <v>46.5</v>
      </c>
      <c r="M652" s="1">
        <v>6</v>
      </c>
      <c r="P652" s="1">
        <v>5</v>
      </c>
      <c r="Q652" s="1">
        <v>6</v>
      </c>
      <c r="R652" s="1">
        <v>0</v>
      </c>
      <c r="S652" s="1">
        <v>23</v>
      </c>
    </row>
    <row r="653" spans="1:19" x14ac:dyDescent="0.25">
      <c r="A653" s="12">
        <v>39247</v>
      </c>
      <c r="B653" s="14" t="s">
        <v>669</v>
      </c>
      <c r="C653" s="14"/>
      <c r="D653" s="14"/>
      <c r="E653" s="1">
        <v>18</v>
      </c>
      <c r="F653" s="1">
        <f t="shared" si="15"/>
        <v>15.75</v>
      </c>
      <c r="G653" s="1">
        <v>33</v>
      </c>
      <c r="H653" s="1">
        <f t="shared" si="16"/>
        <v>34.5</v>
      </c>
      <c r="I653" s="1">
        <v>49</v>
      </c>
      <c r="J653" s="1">
        <f t="shared" si="13"/>
        <v>50.75</v>
      </c>
      <c r="M653" s="1">
        <v>4</v>
      </c>
      <c r="P653" s="1">
        <v>5</v>
      </c>
      <c r="Q653" s="1">
        <v>7</v>
      </c>
      <c r="R653" s="1">
        <v>1</v>
      </c>
      <c r="S653" s="1">
        <v>24</v>
      </c>
    </row>
    <row r="654" spans="1:19" x14ac:dyDescent="0.25">
      <c r="A654" s="12">
        <v>39254</v>
      </c>
      <c r="B654" s="14" t="s">
        <v>670</v>
      </c>
      <c r="C654" s="14"/>
      <c r="D654" s="14"/>
      <c r="E654" s="1">
        <v>20</v>
      </c>
      <c r="F654" s="1">
        <f t="shared" si="15"/>
        <v>18</v>
      </c>
      <c r="G654" s="1">
        <v>33</v>
      </c>
      <c r="H654" s="1">
        <f t="shared" si="16"/>
        <v>37.5</v>
      </c>
      <c r="I654" s="1">
        <v>45</v>
      </c>
      <c r="J654" s="1">
        <f t="shared" si="13"/>
        <v>55.5</v>
      </c>
      <c r="M654" s="1">
        <v>3</v>
      </c>
      <c r="P654" s="1">
        <v>0</v>
      </c>
      <c r="Q654" s="1">
        <v>0</v>
      </c>
      <c r="R654" s="1">
        <v>0</v>
      </c>
      <c r="S654" s="1">
        <v>25</v>
      </c>
    </row>
    <row r="655" spans="1:19" x14ac:dyDescent="0.25">
      <c r="A655" s="12">
        <v>39261</v>
      </c>
      <c r="B655" s="14" t="s">
        <v>671</v>
      </c>
      <c r="C655" s="14"/>
      <c r="D655" s="14"/>
      <c r="E655" s="1">
        <v>17</v>
      </c>
      <c r="F655" s="1">
        <f t="shared" si="15"/>
        <v>22.75</v>
      </c>
      <c r="G655" s="1">
        <v>35</v>
      </c>
      <c r="H655" s="1">
        <f t="shared" si="16"/>
        <v>32.25</v>
      </c>
      <c r="I655" s="1">
        <v>55</v>
      </c>
      <c r="J655" s="1">
        <f t="shared" si="13"/>
        <v>50.25</v>
      </c>
      <c r="M655" s="1">
        <v>5</v>
      </c>
      <c r="P655" s="1">
        <v>3</v>
      </c>
      <c r="Q655" s="1">
        <v>8</v>
      </c>
      <c r="R655" s="1">
        <v>3</v>
      </c>
      <c r="S655" s="1">
        <v>26</v>
      </c>
    </row>
    <row r="656" spans="1:19" x14ac:dyDescent="0.25">
      <c r="A656" s="12">
        <v>39268</v>
      </c>
      <c r="B656" s="14" t="s">
        <v>672</v>
      </c>
      <c r="C656" s="14"/>
      <c r="D656" s="14"/>
      <c r="E656" s="1">
        <v>16</v>
      </c>
      <c r="F656" s="1">
        <f t="shared" si="15"/>
        <v>28</v>
      </c>
      <c r="G656" s="1">
        <v>31</v>
      </c>
      <c r="H656" s="1">
        <f t="shared" si="16"/>
        <v>39</v>
      </c>
      <c r="I656" s="1">
        <v>54</v>
      </c>
      <c r="J656" s="1">
        <f t="shared" si="13"/>
        <v>52.75</v>
      </c>
      <c r="M656" s="1">
        <v>4</v>
      </c>
      <c r="P656" s="1">
        <v>5</v>
      </c>
      <c r="Q656" s="1">
        <v>6</v>
      </c>
      <c r="R656" s="1">
        <v>2</v>
      </c>
      <c r="S656" s="1">
        <v>27</v>
      </c>
    </row>
    <row r="657" spans="1:19" x14ac:dyDescent="0.25">
      <c r="A657" s="12">
        <v>39275</v>
      </c>
      <c r="B657" s="14" t="s">
        <v>673</v>
      </c>
      <c r="C657" s="14"/>
      <c r="D657" s="14"/>
      <c r="E657" s="1">
        <v>23</v>
      </c>
      <c r="F657" s="1">
        <f t="shared" si="15"/>
        <v>25.25</v>
      </c>
      <c r="G657" s="1">
        <v>39</v>
      </c>
      <c r="H657" s="1">
        <f t="shared" si="16"/>
        <v>42.25</v>
      </c>
      <c r="I657" s="1">
        <v>62</v>
      </c>
      <c r="J657" s="1">
        <f t="shared" si="13"/>
        <v>52</v>
      </c>
      <c r="M657" s="1">
        <v>3</v>
      </c>
      <c r="P657" s="1">
        <v>0</v>
      </c>
      <c r="Q657" s="1">
        <v>8</v>
      </c>
      <c r="R657" s="1">
        <v>2</v>
      </c>
      <c r="S657" s="1">
        <v>28</v>
      </c>
    </row>
    <row r="658" spans="1:19" x14ac:dyDescent="0.25">
      <c r="A658" s="12">
        <v>39282</v>
      </c>
      <c r="B658" s="14" t="s">
        <v>674</v>
      </c>
      <c r="C658" s="14"/>
      <c r="D658" s="14"/>
      <c r="E658" s="1">
        <v>29</v>
      </c>
      <c r="F658" s="1">
        <f t="shared" si="15"/>
        <v>22</v>
      </c>
      <c r="G658" s="1">
        <v>35</v>
      </c>
      <c r="H658" s="1">
        <f t="shared" si="16"/>
        <v>41.75</v>
      </c>
      <c r="I658" s="1">
        <v>62</v>
      </c>
      <c r="J658" s="1">
        <f t="shared" si="13"/>
        <v>54.75</v>
      </c>
      <c r="M658" s="1">
        <v>8</v>
      </c>
      <c r="P658" s="1">
        <v>4</v>
      </c>
      <c r="Q658" s="1">
        <v>2</v>
      </c>
      <c r="R658" s="1">
        <v>1</v>
      </c>
      <c r="S658" s="1">
        <v>29</v>
      </c>
    </row>
    <row r="659" spans="1:19" x14ac:dyDescent="0.25">
      <c r="A659" s="12">
        <v>39289</v>
      </c>
      <c r="B659" s="14" t="s">
        <v>675</v>
      </c>
      <c r="C659" s="14"/>
      <c r="D659" s="14"/>
      <c r="E659" s="1">
        <v>23</v>
      </c>
      <c r="F659" s="1">
        <f t="shared" si="15"/>
        <v>23.25</v>
      </c>
      <c r="G659" s="1">
        <v>48</v>
      </c>
      <c r="H659" s="1">
        <f t="shared" si="16"/>
        <v>40.25</v>
      </c>
      <c r="I659" s="1">
        <v>66</v>
      </c>
      <c r="J659" s="1">
        <f t="shared" si="13"/>
        <v>55.5</v>
      </c>
      <c r="M659" s="1">
        <v>8</v>
      </c>
      <c r="P659" s="1">
        <v>7</v>
      </c>
      <c r="Q659" s="2" t="s">
        <v>551</v>
      </c>
      <c r="R659" s="1">
        <v>2</v>
      </c>
      <c r="S659" s="1">
        <v>30</v>
      </c>
    </row>
    <row r="660" spans="1:19" x14ac:dyDescent="0.25">
      <c r="A660" s="12">
        <v>39296</v>
      </c>
      <c r="B660" s="14" t="s">
        <v>676</v>
      </c>
      <c r="C660" s="14"/>
      <c r="D660" s="14"/>
      <c r="E660" s="1">
        <v>35</v>
      </c>
      <c r="F660" s="1">
        <f t="shared" si="15"/>
        <v>21.75</v>
      </c>
      <c r="G660" s="1">
        <v>43</v>
      </c>
      <c r="H660" s="1">
        <f t="shared" si="16"/>
        <v>43.75</v>
      </c>
      <c r="I660" s="1">
        <v>68</v>
      </c>
      <c r="J660" s="1">
        <f t="shared" si="13"/>
        <v>55</v>
      </c>
      <c r="M660" s="1">
        <v>6</v>
      </c>
      <c r="P660" s="1">
        <v>6</v>
      </c>
      <c r="Q660" s="1">
        <v>7</v>
      </c>
      <c r="R660" s="1">
        <v>5</v>
      </c>
      <c r="S660" s="1">
        <v>31</v>
      </c>
    </row>
    <row r="661" spans="1:19" x14ac:dyDescent="0.25">
      <c r="A661" s="12">
        <v>39303</v>
      </c>
      <c r="B661" s="14" t="s">
        <v>677</v>
      </c>
      <c r="C661" s="14"/>
      <c r="D661" s="14"/>
      <c r="E661" s="1">
        <v>33</v>
      </c>
      <c r="F661" s="1">
        <f t="shared" si="15"/>
        <v>26.5</v>
      </c>
      <c r="G661" s="1">
        <v>43</v>
      </c>
      <c r="H661" s="1">
        <f t="shared" si="16"/>
        <v>37</v>
      </c>
      <c r="I661" s="1">
        <v>67</v>
      </c>
      <c r="J661" s="1">
        <f t="shared" si="13"/>
        <v>57</v>
      </c>
      <c r="M661" s="1">
        <v>7</v>
      </c>
      <c r="P661" s="1">
        <v>7</v>
      </c>
      <c r="Q661" s="1">
        <v>10</v>
      </c>
      <c r="R661" s="1">
        <v>3</v>
      </c>
      <c r="S661" s="1">
        <v>32</v>
      </c>
    </row>
    <row r="662" spans="1:19" x14ac:dyDescent="0.25">
      <c r="A662" s="12">
        <v>39310</v>
      </c>
      <c r="B662" s="14" t="s">
        <v>678</v>
      </c>
      <c r="C662" s="14"/>
      <c r="D662" s="14"/>
      <c r="E662" s="1">
        <v>34</v>
      </c>
      <c r="F662" s="1">
        <f t="shared" si="15"/>
        <v>27.75</v>
      </c>
      <c r="G662" s="1">
        <v>50</v>
      </c>
      <c r="H662" s="1">
        <f t="shared" si="16"/>
        <v>45.5</v>
      </c>
      <c r="I662" s="1">
        <v>77</v>
      </c>
      <c r="J662" s="1">
        <f t="shared" si="13"/>
        <v>52.75</v>
      </c>
      <c r="M662" s="1">
        <v>5</v>
      </c>
      <c r="P662" s="1">
        <v>5</v>
      </c>
      <c r="Q662" s="2" t="s">
        <v>551</v>
      </c>
      <c r="R662" s="1">
        <v>0</v>
      </c>
      <c r="S662" s="1">
        <v>33</v>
      </c>
    </row>
    <row r="663" spans="1:19" x14ac:dyDescent="0.25">
      <c r="A663" s="12">
        <v>39317</v>
      </c>
      <c r="B663" s="14" t="s">
        <v>678</v>
      </c>
      <c r="C663" s="14"/>
      <c r="D663" s="14"/>
      <c r="E663" s="1">
        <v>46</v>
      </c>
      <c r="F663" s="1">
        <f t="shared" si="15"/>
        <v>25.75</v>
      </c>
      <c r="G663" s="1">
        <v>46</v>
      </c>
      <c r="H663" s="1">
        <f t="shared" si="16"/>
        <v>42.5</v>
      </c>
      <c r="I663" s="1">
        <v>76</v>
      </c>
      <c r="J663" s="1">
        <f t="shared" si="13"/>
        <v>51.75</v>
      </c>
      <c r="M663" s="1">
        <v>8</v>
      </c>
      <c r="P663" s="1">
        <v>3</v>
      </c>
      <c r="Q663" s="1">
        <v>4</v>
      </c>
      <c r="R663" s="1">
        <v>2</v>
      </c>
      <c r="S663" s="1">
        <v>34</v>
      </c>
    </row>
    <row r="664" spans="1:19" x14ac:dyDescent="0.25">
      <c r="A664" s="12">
        <v>39324</v>
      </c>
      <c r="B664" s="14" t="s">
        <v>679</v>
      </c>
      <c r="C664" s="14"/>
      <c r="D664" s="14"/>
      <c r="E664" s="1">
        <v>43</v>
      </c>
      <c r="F664" s="1">
        <f t="shared" si="15"/>
        <v>19.25</v>
      </c>
      <c r="G664" s="1">
        <v>49</v>
      </c>
      <c r="H664" s="1">
        <f t="shared" si="16"/>
        <v>35.5</v>
      </c>
      <c r="I664" s="1">
        <v>79</v>
      </c>
      <c r="J664" s="1">
        <f t="shared" si="13"/>
        <v>49</v>
      </c>
      <c r="M664" s="1">
        <v>3</v>
      </c>
      <c r="P664" s="1">
        <v>2</v>
      </c>
      <c r="Q664" s="2" t="s">
        <v>551</v>
      </c>
      <c r="R664" s="1">
        <v>1</v>
      </c>
      <c r="S664" s="1">
        <v>35</v>
      </c>
    </row>
    <row r="665" spans="1:19" x14ac:dyDescent="0.25">
      <c r="A665" s="12">
        <v>39331</v>
      </c>
      <c r="B665" s="14" t="s">
        <v>680</v>
      </c>
      <c r="C665" s="14"/>
      <c r="D665" s="14"/>
      <c r="E665" s="1">
        <v>54</v>
      </c>
      <c r="F665" s="1">
        <f t="shared" si="15"/>
        <v>26.5</v>
      </c>
      <c r="G665" s="1">
        <v>49</v>
      </c>
      <c r="H665" s="1">
        <f t="shared" si="16"/>
        <v>34.25</v>
      </c>
      <c r="I665" s="1">
        <v>60</v>
      </c>
      <c r="J665" s="1">
        <f t="shared" si="13"/>
        <v>48.5</v>
      </c>
      <c r="M665" s="1">
        <v>6</v>
      </c>
      <c r="P665" s="1">
        <v>9</v>
      </c>
      <c r="Q665" s="1">
        <v>4</v>
      </c>
      <c r="R665" s="1">
        <v>1</v>
      </c>
      <c r="S665" s="1">
        <v>36</v>
      </c>
    </row>
    <row r="666" spans="1:19" x14ac:dyDescent="0.25">
      <c r="A666" s="12">
        <v>39338</v>
      </c>
      <c r="B666" s="14" t="s">
        <v>681</v>
      </c>
      <c r="C666" s="14"/>
      <c r="D666" s="14"/>
      <c r="E666" s="1">
        <v>52</v>
      </c>
      <c r="F666" s="1">
        <f t="shared" si="15"/>
        <v>28.75</v>
      </c>
      <c r="G666" s="1">
        <v>48</v>
      </c>
      <c r="H666" s="1">
        <f t="shared" si="16"/>
        <v>44</v>
      </c>
      <c r="I666" s="1">
        <v>72</v>
      </c>
      <c r="J666" s="1">
        <f t="shared" si="13"/>
        <v>56.5</v>
      </c>
      <c r="M666" s="1">
        <v>5</v>
      </c>
      <c r="P666" s="1">
        <v>5</v>
      </c>
      <c r="Q666" s="2" t="s">
        <v>551</v>
      </c>
      <c r="R666" s="1">
        <v>2</v>
      </c>
      <c r="S666" s="1">
        <v>37</v>
      </c>
    </row>
    <row r="667" spans="1:19" x14ac:dyDescent="0.25">
      <c r="A667" s="12">
        <v>39345</v>
      </c>
      <c r="B667" s="14" t="s">
        <v>682</v>
      </c>
      <c r="C667" s="14"/>
      <c r="D667" s="14"/>
      <c r="E667" s="1">
        <v>39</v>
      </c>
      <c r="F667" s="1">
        <f t="shared" si="15"/>
        <v>27.25</v>
      </c>
      <c r="G667" s="1">
        <v>61</v>
      </c>
      <c r="H667" s="1">
        <f t="shared" si="16"/>
        <v>41</v>
      </c>
      <c r="I667" s="1">
        <v>74</v>
      </c>
      <c r="J667" s="1">
        <f t="shared" si="13"/>
        <v>55.25</v>
      </c>
      <c r="M667" s="1">
        <v>8</v>
      </c>
      <c r="P667" s="2" t="s">
        <v>551</v>
      </c>
      <c r="Q667" s="2" t="s">
        <v>551</v>
      </c>
      <c r="R667" s="2" t="s">
        <v>551</v>
      </c>
      <c r="S667" s="1">
        <v>38</v>
      </c>
    </row>
    <row r="668" spans="1:19" x14ac:dyDescent="0.25">
      <c r="A668" s="12">
        <v>39352</v>
      </c>
      <c r="B668" s="14" t="s">
        <v>683</v>
      </c>
      <c r="C668" s="14"/>
      <c r="D668" s="14"/>
      <c r="E668" s="1">
        <v>34</v>
      </c>
      <c r="F668" s="1">
        <f t="shared" si="15"/>
        <v>27</v>
      </c>
      <c r="G668" s="1">
        <v>58</v>
      </c>
      <c r="H668" s="1">
        <f t="shared" si="16"/>
        <v>40</v>
      </c>
      <c r="I668" s="1">
        <v>79</v>
      </c>
      <c r="J668" s="1">
        <f t="shared" si="13"/>
        <v>65.75</v>
      </c>
      <c r="M668" s="1">
        <v>8</v>
      </c>
      <c r="P668" s="1">
        <v>5</v>
      </c>
      <c r="Q668" s="2" t="s">
        <v>551</v>
      </c>
      <c r="R668" s="1">
        <v>6</v>
      </c>
      <c r="S668" s="1">
        <v>39</v>
      </c>
    </row>
    <row r="669" spans="1:19" x14ac:dyDescent="0.25">
      <c r="A669" s="12">
        <v>39359</v>
      </c>
      <c r="B669" s="14" t="s">
        <v>684</v>
      </c>
      <c r="C669" s="14"/>
      <c r="D669" s="14"/>
      <c r="E669" s="1">
        <v>36</v>
      </c>
      <c r="F669" s="1">
        <f t="shared" si="15"/>
        <v>36.25</v>
      </c>
      <c r="G669" s="1">
        <v>52</v>
      </c>
      <c r="H669" s="1">
        <f t="shared" si="16"/>
        <v>49.75</v>
      </c>
      <c r="I669" s="1">
        <v>72</v>
      </c>
      <c r="J669" s="1">
        <f t="shared" si="13"/>
        <v>73.25</v>
      </c>
      <c r="M669" s="1">
        <v>8</v>
      </c>
      <c r="P669" s="1">
        <v>11</v>
      </c>
      <c r="Q669" s="2" t="s">
        <v>551</v>
      </c>
      <c r="R669" s="1">
        <v>2</v>
      </c>
      <c r="S669" s="1">
        <v>40</v>
      </c>
    </row>
    <row r="670" spans="1:19" x14ac:dyDescent="0.25">
      <c r="A670" s="12">
        <v>39366</v>
      </c>
      <c r="B670" s="14" t="s">
        <v>685</v>
      </c>
      <c r="C670" s="14"/>
      <c r="D670" s="14"/>
      <c r="E670" s="1">
        <v>35</v>
      </c>
      <c r="F670" s="1">
        <f t="shared" si="15"/>
        <v>35.75</v>
      </c>
      <c r="G670" s="1">
        <v>57</v>
      </c>
      <c r="H670" s="1">
        <f t="shared" si="16"/>
        <v>50.5</v>
      </c>
      <c r="I670" s="1">
        <v>74</v>
      </c>
      <c r="J670" s="1">
        <f t="shared" si="13"/>
        <v>68.75</v>
      </c>
      <c r="M670" s="1">
        <v>6</v>
      </c>
      <c r="P670" s="1">
        <v>8</v>
      </c>
      <c r="Q670" s="2" t="s">
        <v>551</v>
      </c>
      <c r="R670" s="1">
        <v>6</v>
      </c>
      <c r="S670" s="1">
        <v>41</v>
      </c>
    </row>
    <row r="671" spans="1:19" x14ac:dyDescent="0.25">
      <c r="A671" s="12">
        <v>39373</v>
      </c>
      <c r="B671" s="14" t="s">
        <v>686</v>
      </c>
      <c r="C671" s="14"/>
      <c r="D671" s="14"/>
      <c r="E671" s="1">
        <v>35</v>
      </c>
      <c r="F671" s="1">
        <f t="shared" si="15"/>
        <v>34.5</v>
      </c>
      <c r="G671" s="1">
        <v>55</v>
      </c>
      <c r="H671" s="1">
        <f t="shared" si="16"/>
        <v>51.5</v>
      </c>
      <c r="I671" s="1">
        <v>83</v>
      </c>
      <c r="J671" s="1">
        <f t="shared" si="13"/>
        <v>72.5</v>
      </c>
      <c r="M671" s="1">
        <v>12</v>
      </c>
      <c r="P671" s="1">
        <v>9</v>
      </c>
      <c r="Q671" s="1">
        <v>4</v>
      </c>
      <c r="R671" s="1">
        <v>3</v>
      </c>
      <c r="S671" s="1">
        <v>42</v>
      </c>
    </row>
    <row r="672" spans="1:19" x14ac:dyDescent="0.25">
      <c r="A672" s="12">
        <v>39380</v>
      </c>
      <c r="B672" s="14" t="s">
        <v>687</v>
      </c>
      <c r="C672" s="14"/>
      <c r="D672" s="14"/>
      <c r="E672" s="1">
        <v>38</v>
      </c>
      <c r="F672" s="1">
        <f t="shared" si="15"/>
        <v>28</v>
      </c>
      <c r="G672" s="1">
        <v>46</v>
      </c>
      <c r="H672" s="1">
        <f t="shared" si="16"/>
        <v>51.25</v>
      </c>
      <c r="I672" s="1">
        <v>83</v>
      </c>
      <c r="J672" s="1">
        <f t="shared" si="13"/>
        <v>71</v>
      </c>
      <c r="M672" s="1">
        <v>10</v>
      </c>
      <c r="P672" s="1">
        <v>12</v>
      </c>
      <c r="Q672" s="1">
        <v>6</v>
      </c>
      <c r="R672" s="1">
        <v>1</v>
      </c>
      <c r="S672" s="1">
        <v>43</v>
      </c>
    </row>
    <row r="673" spans="1:19" x14ac:dyDescent="0.25">
      <c r="A673" s="12">
        <v>39387</v>
      </c>
      <c r="B673" s="14" t="s">
        <v>688</v>
      </c>
      <c r="C673" s="14"/>
      <c r="D673" s="14"/>
      <c r="E673" s="1">
        <v>37</v>
      </c>
      <c r="F673" s="1">
        <f t="shared" si="15"/>
        <v>38</v>
      </c>
      <c r="G673" s="1">
        <v>57</v>
      </c>
      <c r="H673" s="1">
        <f t="shared" si="16"/>
        <v>49.5</v>
      </c>
      <c r="I673" s="1">
        <v>86</v>
      </c>
      <c r="J673" s="1">
        <f t="shared" si="13"/>
        <v>69.75</v>
      </c>
      <c r="M673" s="1">
        <v>9</v>
      </c>
      <c r="P673" s="1">
        <v>10</v>
      </c>
      <c r="Q673" s="1">
        <v>8</v>
      </c>
      <c r="R673" s="1">
        <v>3</v>
      </c>
      <c r="S673" s="1">
        <v>44</v>
      </c>
    </row>
    <row r="674" spans="1:19" x14ac:dyDescent="0.25">
      <c r="A674" s="12">
        <v>39394</v>
      </c>
      <c r="B674" s="14" t="s">
        <v>689</v>
      </c>
      <c r="C674" s="14"/>
      <c r="D674" s="14"/>
      <c r="E674" s="1">
        <v>51</v>
      </c>
      <c r="F674" s="1">
        <f t="shared" si="15"/>
        <v>34.25</v>
      </c>
      <c r="G674" s="1">
        <v>40</v>
      </c>
      <c r="H674" s="1">
        <f t="shared" si="16"/>
        <v>49.5</v>
      </c>
      <c r="I674" s="1">
        <v>70</v>
      </c>
      <c r="J674" s="1">
        <f t="shared" si="13"/>
        <v>65</v>
      </c>
      <c r="M674" s="1">
        <v>7</v>
      </c>
      <c r="P674" s="1">
        <v>8</v>
      </c>
      <c r="Q674" s="2" t="s">
        <v>551</v>
      </c>
      <c r="R674" s="1">
        <v>2</v>
      </c>
      <c r="S674" s="1">
        <v>45</v>
      </c>
    </row>
    <row r="675" spans="1:19" x14ac:dyDescent="0.25">
      <c r="A675" s="12">
        <v>39401</v>
      </c>
      <c r="B675" s="14" t="s">
        <v>690</v>
      </c>
      <c r="C675" s="14"/>
      <c r="D675" s="14"/>
      <c r="E675" s="1">
        <v>44</v>
      </c>
      <c r="F675" s="1">
        <f t="shared" si="15"/>
        <v>34.25</v>
      </c>
      <c r="G675" s="1">
        <v>59</v>
      </c>
      <c r="H675" s="1">
        <f t="shared" si="16"/>
        <v>50.25</v>
      </c>
      <c r="I675" s="1">
        <v>68</v>
      </c>
      <c r="J675" s="1">
        <f t="shared" si="13"/>
        <v>66.75</v>
      </c>
      <c r="M675" s="1">
        <v>11</v>
      </c>
      <c r="P675" s="1">
        <v>10</v>
      </c>
      <c r="Q675" s="2" t="s">
        <v>551</v>
      </c>
      <c r="R675" s="1">
        <v>3</v>
      </c>
      <c r="S675" s="1">
        <v>46</v>
      </c>
    </row>
    <row r="676" spans="1:19" x14ac:dyDescent="0.25">
      <c r="A676" s="12">
        <v>39408</v>
      </c>
      <c r="B676" s="14" t="s">
        <v>691</v>
      </c>
      <c r="C676" s="14"/>
      <c r="D676" s="14"/>
      <c r="E676" s="1">
        <v>38</v>
      </c>
      <c r="F676" s="1">
        <f t="shared" si="15"/>
        <v>34.75</v>
      </c>
      <c r="G676" s="1">
        <v>56</v>
      </c>
      <c r="H676" s="1">
        <f t="shared" si="16"/>
        <v>53.5</v>
      </c>
      <c r="I676" s="1">
        <v>67</v>
      </c>
      <c r="J676" s="1">
        <f t="shared" si="13"/>
        <v>60.5</v>
      </c>
      <c r="M676" s="1">
        <v>10</v>
      </c>
      <c r="P676" s="2" t="s">
        <v>551</v>
      </c>
      <c r="Q676" s="2" t="s">
        <v>551</v>
      </c>
      <c r="R676" s="2" t="s">
        <v>551</v>
      </c>
      <c r="S676" s="1">
        <v>47</v>
      </c>
    </row>
    <row r="677" spans="1:19" x14ac:dyDescent="0.25">
      <c r="A677" s="12">
        <v>39415</v>
      </c>
      <c r="B677" s="14" t="s">
        <v>692</v>
      </c>
      <c r="C677" s="14"/>
      <c r="D677" s="14"/>
      <c r="E677" s="1">
        <v>33</v>
      </c>
      <c r="F677" s="1">
        <f t="shared" si="15"/>
        <v>30</v>
      </c>
      <c r="G677" s="1">
        <v>55</v>
      </c>
      <c r="H677" s="1">
        <f t="shared" si="16"/>
        <v>49.75</v>
      </c>
      <c r="I677" s="1">
        <v>75</v>
      </c>
      <c r="J677" s="1">
        <f t="shared" si="13"/>
        <v>66.75</v>
      </c>
      <c r="M677" s="1">
        <v>12</v>
      </c>
      <c r="P677" s="1">
        <v>13</v>
      </c>
      <c r="Q677" s="2" t="s">
        <v>551</v>
      </c>
      <c r="R677" s="1">
        <v>3</v>
      </c>
      <c r="S677" s="1">
        <v>48</v>
      </c>
    </row>
    <row r="678" spans="1:19" x14ac:dyDescent="0.25">
      <c r="A678" s="12">
        <v>39422</v>
      </c>
      <c r="B678" s="14" t="s">
        <v>693</v>
      </c>
      <c r="C678" s="14"/>
      <c r="D678" s="14"/>
      <c r="E678" s="1">
        <v>31</v>
      </c>
      <c r="F678" s="1">
        <f t="shared" si="15"/>
        <v>25.5</v>
      </c>
      <c r="G678" s="1">
        <v>56</v>
      </c>
      <c r="H678" s="1">
        <f t="shared" si="16"/>
        <v>48.5</v>
      </c>
      <c r="I678" s="1">
        <v>85</v>
      </c>
      <c r="J678" s="1">
        <f t="shared" si="13"/>
        <v>64.75</v>
      </c>
      <c r="M678" s="1">
        <v>13</v>
      </c>
      <c r="P678" s="1">
        <v>13</v>
      </c>
      <c r="Q678" s="2" t="s">
        <v>551</v>
      </c>
      <c r="R678" s="1">
        <v>3</v>
      </c>
      <c r="S678" s="1">
        <v>49</v>
      </c>
    </row>
    <row r="679" spans="1:19" x14ac:dyDescent="0.25">
      <c r="A679" s="12">
        <v>39429</v>
      </c>
      <c r="B679" s="14" t="s">
        <v>694</v>
      </c>
      <c r="C679" s="14"/>
      <c r="D679" s="14"/>
      <c r="E679" s="1">
        <v>35</v>
      </c>
      <c r="F679" s="1">
        <f t="shared" si="15"/>
        <v>29</v>
      </c>
      <c r="G679" s="1">
        <v>48</v>
      </c>
      <c r="H679" s="1">
        <f t="shared" si="16"/>
        <v>51.5</v>
      </c>
      <c r="I679" s="1">
        <v>66</v>
      </c>
      <c r="J679" s="1">
        <f t="shared" si="13"/>
        <v>69.5</v>
      </c>
      <c r="M679" s="1">
        <v>16</v>
      </c>
      <c r="P679" s="1">
        <v>12</v>
      </c>
      <c r="Q679" s="2" t="s">
        <v>551</v>
      </c>
      <c r="R679" s="1">
        <v>1</v>
      </c>
      <c r="S679" s="1">
        <v>50</v>
      </c>
    </row>
    <row r="680" spans="1:19" x14ac:dyDescent="0.25">
      <c r="A680" s="12">
        <v>39436</v>
      </c>
      <c r="B680" s="14" t="s">
        <v>695</v>
      </c>
      <c r="C680" s="14"/>
      <c r="D680" s="14"/>
      <c r="E680" s="1">
        <v>28</v>
      </c>
      <c r="F680" s="1">
        <f t="shared" si="15"/>
        <v>29.5</v>
      </c>
      <c r="G680" s="1">
        <v>47</v>
      </c>
      <c r="H680" s="1">
        <f t="shared" si="16"/>
        <v>47.75</v>
      </c>
      <c r="I680" s="1">
        <v>82</v>
      </c>
      <c r="J680" s="1">
        <f t="shared" si="13"/>
        <v>65</v>
      </c>
      <c r="M680" s="1">
        <v>9</v>
      </c>
      <c r="P680" s="1">
        <v>15</v>
      </c>
      <c r="Q680" s="2">
        <v>3</v>
      </c>
      <c r="R680" s="1">
        <v>3</v>
      </c>
      <c r="S680" s="1">
        <v>51</v>
      </c>
    </row>
    <row r="681" spans="1:19" x14ac:dyDescent="0.25">
      <c r="A681" s="12">
        <v>39443</v>
      </c>
      <c r="B681" s="14" t="s">
        <v>696</v>
      </c>
      <c r="C681" s="14"/>
      <c r="D681" s="14"/>
      <c r="E681" s="1">
        <v>37</v>
      </c>
      <c r="F681" s="1">
        <f t="shared" si="15"/>
        <v>34.75</v>
      </c>
      <c r="G681" s="1">
        <v>38</v>
      </c>
      <c r="H681" s="1">
        <f t="shared" si="16"/>
        <v>39</v>
      </c>
      <c r="I681" s="1">
        <v>77</v>
      </c>
      <c r="J681" s="1">
        <f t="shared" si="13"/>
        <v>69.75</v>
      </c>
      <c r="M681" s="1">
        <v>13</v>
      </c>
      <c r="P681" s="1">
        <v>10</v>
      </c>
      <c r="Q681" s="2">
        <v>6</v>
      </c>
      <c r="R681" s="1">
        <v>1</v>
      </c>
      <c r="S681" s="1">
        <v>52</v>
      </c>
    </row>
    <row r="682" spans="1:19" x14ac:dyDescent="0.25">
      <c r="A682" s="12">
        <v>39450</v>
      </c>
      <c r="B682" s="14" t="s">
        <v>697</v>
      </c>
      <c r="C682" s="14"/>
      <c r="D682" s="14"/>
      <c r="E682" s="1">
        <v>34</v>
      </c>
      <c r="F682" s="1">
        <f t="shared" si="15"/>
        <v>35.75</v>
      </c>
      <c r="G682" s="1">
        <v>40</v>
      </c>
      <c r="H682" s="1">
        <f t="shared" si="16"/>
        <v>46.25</v>
      </c>
      <c r="I682" s="1">
        <v>77</v>
      </c>
      <c r="J682" s="1">
        <f t="shared" si="13"/>
        <v>70.75</v>
      </c>
      <c r="M682" s="1">
        <v>18</v>
      </c>
      <c r="P682" s="1">
        <v>13</v>
      </c>
      <c r="Q682" s="2" t="s">
        <v>551</v>
      </c>
      <c r="R682" s="1">
        <v>5</v>
      </c>
      <c r="S682" s="1">
        <v>1</v>
      </c>
    </row>
    <row r="683" spans="1:19" x14ac:dyDescent="0.25">
      <c r="A683" s="12">
        <v>39457</v>
      </c>
      <c r="B683" s="14" t="s">
        <v>698</v>
      </c>
      <c r="C683" s="14"/>
      <c r="D683" s="14"/>
      <c r="E683" s="1">
        <v>30</v>
      </c>
      <c r="F683" s="1">
        <f t="shared" si="15"/>
        <v>35.25</v>
      </c>
      <c r="G683" s="1">
        <v>50</v>
      </c>
      <c r="H683" s="1">
        <f t="shared" ref="H683:H714" si="17">AVERAGE(G631,G579,G527,G475)</f>
        <v>51</v>
      </c>
      <c r="I683" s="1">
        <v>80</v>
      </c>
      <c r="J683" s="1">
        <f t="shared" si="13"/>
        <v>79.75</v>
      </c>
      <c r="M683" s="1">
        <v>15</v>
      </c>
      <c r="P683" s="1">
        <v>17</v>
      </c>
      <c r="Q683" s="2">
        <v>5</v>
      </c>
      <c r="R683" s="1">
        <v>2</v>
      </c>
      <c r="S683" s="1">
        <v>2</v>
      </c>
    </row>
    <row r="684" spans="1:19" x14ac:dyDescent="0.25">
      <c r="A684" s="12">
        <v>39464</v>
      </c>
      <c r="B684" s="14" t="s">
        <v>699</v>
      </c>
      <c r="C684" s="14"/>
      <c r="D684" s="14"/>
      <c r="E684" s="1">
        <v>37</v>
      </c>
      <c r="F684" s="1">
        <f t="shared" si="15"/>
        <v>31.25</v>
      </c>
      <c r="G684" s="1">
        <v>50</v>
      </c>
      <c r="H684" s="1">
        <f t="shared" si="17"/>
        <v>54</v>
      </c>
      <c r="I684" s="1">
        <v>74</v>
      </c>
      <c r="J684" s="1">
        <f t="shared" si="13"/>
        <v>74.75</v>
      </c>
      <c r="M684" s="1">
        <v>16</v>
      </c>
      <c r="P684" s="1">
        <v>10</v>
      </c>
      <c r="Q684" s="2" t="s">
        <v>551</v>
      </c>
      <c r="R684" s="1">
        <v>4</v>
      </c>
      <c r="S684" s="1">
        <v>3</v>
      </c>
    </row>
    <row r="685" spans="1:19" x14ac:dyDescent="0.25">
      <c r="A685" s="12">
        <v>39471</v>
      </c>
      <c r="B685" s="14" t="s">
        <v>700</v>
      </c>
      <c r="C685" s="14"/>
      <c r="D685" s="14"/>
      <c r="E685" s="1">
        <v>32</v>
      </c>
      <c r="F685" s="1">
        <f t="shared" si="15"/>
        <v>34.25</v>
      </c>
      <c r="G685" s="1">
        <v>52</v>
      </c>
      <c r="H685" s="1">
        <f t="shared" si="17"/>
        <v>48.75</v>
      </c>
      <c r="I685" s="1">
        <v>83</v>
      </c>
      <c r="J685" s="1">
        <f t="shared" si="13"/>
        <v>69.25</v>
      </c>
      <c r="M685" s="1">
        <v>16</v>
      </c>
      <c r="P685" s="1">
        <v>13</v>
      </c>
      <c r="Q685" s="2">
        <v>7</v>
      </c>
      <c r="R685" s="1">
        <v>3</v>
      </c>
      <c r="S685" s="1">
        <v>4</v>
      </c>
    </row>
    <row r="686" spans="1:19" x14ac:dyDescent="0.25">
      <c r="A686" s="12">
        <v>39478</v>
      </c>
      <c r="B686" s="14" t="s">
        <v>701</v>
      </c>
      <c r="C686" s="14"/>
      <c r="D686" s="14"/>
      <c r="E686" s="1">
        <v>44</v>
      </c>
      <c r="F686" s="1">
        <f t="shared" si="15"/>
        <v>40</v>
      </c>
      <c r="G686" s="1">
        <v>51</v>
      </c>
      <c r="H686" s="1">
        <f t="shared" si="17"/>
        <v>45.75</v>
      </c>
      <c r="I686" s="1">
        <v>84</v>
      </c>
      <c r="J686" s="1">
        <f t="shared" si="13"/>
        <v>64.5</v>
      </c>
      <c r="M686" s="1">
        <v>13</v>
      </c>
      <c r="P686" s="1">
        <v>9</v>
      </c>
      <c r="Q686" s="2">
        <v>6</v>
      </c>
      <c r="R686" s="1">
        <v>2</v>
      </c>
      <c r="S686" s="1">
        <v>5</v>
      </c>
    </row>
    <row r="687" spans="1:19" x14ac:dyDescent="0.25">
      <c r="A687" s="12">
        <v>39485</v>
      </c>
      <c r="B687" s="14" t="s">
        <v>702</v>
      </c>
      <c r="C687" s="14"/>
      <c r="D687" s="14"/>
      <c r="E687" s="1">
        <v>55</v>
      </c>
      <c r="F687" s="1">
        <f t="shared" si="15"/>
        <v>38.75</v>
      </c>
      <c r="G687" s="1">
        <v>57</v>
      </c>
      <c r="H687" s="1">
        <f t="shared" si="17"/>
        <v>43.25</v>
      </c>
      <c r="I687" s="1">
        <v>78</v>
      </c>
      <c r="J687" s="1">
        <f t="shared" si="13"/>
        <v>66.5</v>
      </c>
      <c r="M687" s="1">
        <v>18</v>
      </c>
      <c r="P687" s="1">
        <v>10</v>
      </c>
      <c r="Q687" s="1">
        <v>3</v>
      </c>
      <c r="R687" s="1">
        <v>3</v>
      </c>
      <c r="S687" s="1">
        <v>6</v>
      </c>
    </row>
    <row r="688" spans="1:19" x14ac:dyDescent="0.25">
      <c r="A688" s="12">
        <v>39492</v>
      </c>
      <c r="B688" s="14" t="s">
        <v>703</v>
      </c>
      <c r="C688" s="14"/>
      <c r="D688" s="14"/>
      <c r="E688" s="1">
        <v>51</v>
      </c>
      <c r="F688" s="1">
        <f t="shared" si="15"/>
        <v>39</v>
      </c>
      <c r="G688" s="1">
        <v>50</v>
      </c>
      <c r="H688" s="1">
        <f t="shared" si="17"/>
        <v>48.25</v>
      </c>
      <c r="I688" s="1">
        <v>72</v>
      </c>
      <c r="J688" s="1">
        <f t="shared" si="13"/>
        <v>66.75</v>
      </c>
      <c r="M688" s="1">
        <v>15</v>
      </c>
      <c r="P688" s="1">
        <v>8</v>
      </c>
      <c r="Q688" s="1">
        <v>4</v>
      </c>
      <c r="R688" s="1">
        <v>5</v>
      </c>
      <c r="S688" s="1">
        <v>7</v>
      </c>
    </row>
    <row r="689" spans="1:19" x14ac:dyDescent="0.25">
      <c r="A689" s="12">
        <v>39499</v>
      </c>
      <c r="B689" s="14" t="s">
        <v>704</v>
      </c>
      <c r="C689" s="14"/>
      <c r="D689" s="14"/>
      <c r="E689" s="1">
        <v>56</v>
      </c>
      <c r="F689" s="1">
        <f t="shared" si="15"/>
        <v>36</v>
      </c>
      <c r="G689" s="1">
        <v>45</v>
      </c>
      <c r="H689" s="1">
        <f t="shared" si="17"/>
        <v>46.5</v>
      </c>
      <c r="I689" s="1">
        <v>68</v>
      </c>
      <c r="J689" s="1">
        <f t="shared" si="13"/>
        <v>63.75</v>
      </c>
      <c r="M689" s="1">
        <v>15</v>
      </c>
      <c r="P689" s="1">
        <v>13</v>
      </c>
      <c r="Q689" s="1">
        <v>5</v>
      </c>
      <c r="R689" s="1">
        <v>6</v>
      </c>
      <c r="S689" s="1">
        <v>8</v>
      </c>
    </row>
    <row r="690" spans="1:19" x14ac:dyDescent="0.25">
      <c r="A690" s="12">
        <v>39506</v>
      </c>
      <c r="B690" s="14" t="s">
        <v>705</v>
      </c>
      <c r="C690" s="14"/>
      <c r="D690" s="14"/>
      <c r="E690" s="1">
        <v>52</v>
      </c>
      <c r="F690" s="1">
        <f t="shared" si="15"/>
        <v>32.5</v>
      </c>
      <c r="G690" s="1">
        <v>50</v>
      </c>
      <c r="H690" s="1">
        <f t="shared" si="17"/>
        <v>52.75</v>
      </c>
      <c r="I690" s="1">
        <v>74</v>
      </c>
      <c r="J690" s="1">
        <f t="shared" si="13"/>
        <v>61.5</v>
      </c>
      <c r="M690" s="1">
        <v>12</v>
      </c>
      <c r="P690" s="1">
        <v>11</v>
      </c>
      <c r="Q690" s="1">
        <v>10</v>
      </c>
      <c r="R690" s="1">
        <v>2</v>
      </c>
      <c r="S690" s="1">
        <v>9</v>
      </c>
    </row>
    <row r="691" spans="1:19" x14ac:dyDescent="0.25">
      <c r="A691" s="12">
        <v>39513</v>
      </c>
      <c r="B691" s="14" t="s">
        <v>706</v>
      </c>
      <c r="C691" s="14"/>
      <c r="D691" s="14"/>
      <c r="E691" s="1">
        <v>51</v>
      </c>
      <c r="F691" s="1">
        <f t="shared" si="15"/>
        <v>26.75</v>
      </c>
      <c r="G691" s="1">
        <v>50</v>
      </c>
      <c r="H691" s="1">
        <f t="shared" si="17"/>
        <v>48.5</v>
      </c>
      <c r="I691" s="1">
        <v>62</v>
      </c>
      <c r="J691" s="1">
        <f t="shared" si="13"/>
        <v>58</v>
      </c>
      <c r="M691" s="1">
        <v>5</v>
      </c>
      <c r="P691" s="1">
        <v>8</v>
      </c>
      <c r="Q691" s="1">
        <v>6</v>
      </c>
      <c r="R691" s="1">
        <v>9</v>
      </c>
      <c r="S691" s="1">
        <v>10</v>
      </c>
    </row>
    <row r="692" spans="1:19" x14ac:dyDescent="0.25">
      <c r="A692" s="12">
        <v>39520</v>
      </c>
      <c r="B692" s="14" t="s">
        <v>707</v>
      </c>
      <c r="C692" s="14"/>
      <c r="D692" s="14"/>
      <c r="E692" s="1">
        <v>49</v>
      </c>
      <c r="F692" s="1">
        <f t="shared" si="15"/>
        <v>26.75</v>
      </c>
      <c r="G692" s="1">
        <v>46</v>
      </c>
      <c r="H692" s="1">
        <f t="shared" si="17"/>
        <v>45.75</v>
      </c>
      <c r="I692" s="1">
        <v>67</v>
      </c>
      <c r="J692" s="1">
        <f t="shared" si="13"/>
        <v>54.75</v>
      </c>
      <c r="M692" s="1">
        <v>9</v>
      </c>
      <c r="P692" s="1">
        <v>13</v>
      </c>
      <c r="Q692" s="2" t="s">
        <v>551</v>
      </c>
      <c r="R692" s="1">
        <v>2</v>
      </c>
      <c r="S692" s="1">
        <v>11</v>
      </c>
    </row>
    <row r="693" spans="1:19" x14ac:dyDescent="0.25">
      <c r="A693" s="12">
        <v>39527</v>
      </c>
      <c r="B693" s="14" t="s">
        <v>708</v>
      </c>
      <c r="C693" s="14"/>
      <c r="D693" s="14"/>
      <c r="E693" s="1">
        <v>38</v>
      </c>
      <c r="F693" s="1">
        <f t="shared" si="15"/>
        <v>20.25</v>
      </c>
      <c r="G693" s="1">
        <v>43</v>
      </c>
      <c r="H693" s="1">
        <f t="shared" si="17"/>
        <v>46.5</v>
      </c>
      <c r="I693" s="1">
        <v>59</v>
      </c>
      <c r="J693" s="1">
        <f t="shared" si="13"/>
        <v>49.25</v>
      </c>
      <c r="M693" s="1">
        <v>13</v>
      </c>
      <c r="P693" s="1">
        <v>9</v>
      </c>
      <c r="Q693" s="1">
        <v>5</v>
      </c>
      <c r="R693" s="1">
        <v>4</v>
      </c>
      <c r="S693" s="1">
        <v>12</v>
      </c>
    </row>
    <row r="694" spans="1:19" x14ac:dyDescent="0.25">
      <c r="A694" s="12">
        <v>39534</v>
      </c>
      <c r="B694" s="14" t="s">
        <v>709</v>
      </c>
      <c r="C694" s="14"/>
      <c r="D694" s="14"/>
      <c r="E694" s="1">
        <v>34</v>
      </c>
      <c r="F694" s="1">
        <f t="shared" si="15"/>
        <v>17.75</v>
      </c>
      <c r="G694" s="1">
        <v>48</v>
      </c>
      <c r="H694" s="1">
        <f t="shared" si="17"/>
        <v>37</v>
      </c>
      <c r="I694" s="1">
        <v>65</v>
      </c>
      <c r="J694" s="1">
        <f t="shared" si="13"/>
        <v>47.25</v>
      </c>
      <c r="M694" s="1">
        <v>7</v>
      </c>
      <c r="P694" s="1">
        <v>8</v>
      </c>
      <c r="Q694" s="1">
        <v>8</v>
      </c>
      <c r="R694" s="1">
        <v>4</v>
      </c>
      <c r="S694" s="1">
        <v>13</v>
      </c>
    </row>
    <row r="695" spans="1:19" x14ac:dyDescent="0.25">
      <c r="A695" s="12">
        <v>39541</v>
      </c>
      <c r="B695" s="14" t="s">
        <v>710</v>
      </c>
      <c r="C695" s="14"/>
      <c r="D695" s="14"/>
      <c r="E695" s="1">
        <v>35</v>
      </c>
      <c r="F695" s="1">
        <f t="shared" si="15"/>
        <v>18</v>
      </c>
      <c r="G695" s="1">
        <v>43</v>
      </c>
      <c r="H695" s="1">
        <f t="shared" si="17"/>
        <v>34.75</v>
      </c>
      <c r="I695" s="1">
        <v>55</v>
      </c>
      <c r="J695" s="1">
        <f t="shared" si="13"/>
        <v>47</v>
      </c>
      <c r="M695" s="1">
        <v>17</v>
      </c>
      <c r="P695" s="1">
        <v>3</v>
      </c>
      <c r="Q695" s="1">
        <v>10</v>
      </c>
      <c r="R695" s="1">
        <v>2</v>
      </c>
      <c r="S695" s="1">
        <v>14</v>
      </c>
    </row>
    <row r="696" spans="1:19" x14ac:dyDescent="0.25">
      <c r="A696" s="12">
        <v>39548</v>
      </c>
      <c r="B696" s="14" t="s">
        <v>711</v>
      </c>
      <c r="C696" s="14"/>
      <c r="D696" s="14"/>
      <c r="E696" s="1">
        <v>32</v>
      </c>
      <c r="F696" s="1">
        <f t="shared" si="15"/>
        <v>17.75</v>
      </c>
      <c r="G696" s="1">
        <v>40</v>
      </c>
      <c r="H696" s="1">
        <f t="shared" si="17"/>
        <v>31.25</v>
      </c>
      <c r="I696" s="1">
        <v>50</v>
      </c>
      <c r="J696" s="1">
        <f t="shared" si="13"/>
        <v>47.75</v>
      </c>
      <c r="M696" s="2">
        <v>6</v>
      </c>
      <c r="P696" s="1">
        <v>7</v>
      </c>
      <c r="Q696" s="2" t="s">
        <v>551</v>
      </c>
      <c r="R696" s="1">
        <v>5</v>
      </c>
      <c r="S696" s="1">
        <v>15</v>
      </c>
    </row>
    <row r="697" spans="1:19" x14ac:dyDescent="0.25">
      <c r="A697" s="12">
        <v>39555</v>
      </c>
      <c r="B697" s="14" t="s">
        <v>712</v>
      </c>
      <c r="C697" s="14"/>
      <c r="D697" s="14"/>
      <c r="E697" s="1">
        <v>32</v>
      </c>
      <c r="F697" s="1">
        <f t="shared" si="15"/>
        <v>21</v>
      </c>
      <c r="G697" s="1">
        <v>44</v>
      </c>
      <c r="H697" s="1">
        <f t="shared" si="17"/>
        <v>36</v>
      </c>
      <c r="I697" s="1">
        <v>58</v>
      </c>
      <c r="J697" s="1">
        <f t="shared" si="13"/>
        <v>43.5</v>
      </c>
      <c r="M697" s="1">
        <v>8</v>
      </c>
      <c r="P697" s="1">
        <v>3</v>
      </c>
      <c r="Q697" s="1">
        <v>13</v>
      </c>
      <c r="R697" s="1">
        <v>4</v>
      </c>
      <c r="S697" s="1">
        <v>16</v>
      </c>
    </row>
    <row r="698" spans="1:19" x14ac:dyDescent="0.25">
      <c r="A698" s="12">
        <v>39562</v>
      </c>
      <c r="B698" s="14" t="s">
        <v>713</v>
      </c>
      <c r="C698" s="14"/>
      <c r="D698" s="14"/>
      <c r="E698" s="1">
        <v>25</v>
      </c>
      <c r="F698" s="1">
        <f t="shared" si="15"/>
        <v>24.5</v>
      </c>
      <c r="G698" s="1">
        <v>40</v>
      </c>
      <c r="H698" s="1">
        <f t="shared" si="17"/>
        <v>39.25</v>
      </c>
      <c r="I698" s="1">
        <v>51</v>
      </c>
      <c r="J698" s="1">
        <f t="shared" si="13"/>
        <v>47.25</v>
      </c>
      <c r="M698" s="1">
        <v>12</v>
      </c>
      <c r="P698" s="2" t="s">
        <v>551</v>
      </c>
      <c r="Q698" s="2" t="s">
        <v>551</v>
      </c>
      <c r="R698" s="2" t="s">
        <v>551</v>
      </c>
      <c r="S698" s="1">
        <v>17</v>
      </c>
    </row>
    <row r="699" spans="1:19" x14ac:dyDescent="0.25">
      <c r="A699" s="12">
        <v>39569</v>
      </c>
      <c r="B699" s="14" t="s">
        <v>714</v>
      </c>
      <c r="C699" s="14"/>
      <c r="D699" s="14"/>
      <c r="E699" s="1">
        <v>27</v>
      </c>
      <c r="F699" s="1">
        <f t="shared" si="15"/>
        <v>17.25</v>
      </c>
      <c r="G699" s="1">
        <v>35</v>
      </c>
      <c r="H699" s="1">
        <f t="shared" si="17"/>
        <v>36.5</v>
      </c>
      <c r="I699" s="1">
        <v>47</v>
      </c>
      <c r="J699" s="1">
        <f t="shared" si="13"/>
        <v>56.5</v>
      </c>
      <c r="M699" s="1">
        <v>7</v>
      </c>
      <c r="P699" s="1">
        <v>2</v>
      </c>
      <c r="Q699" s="2" t="s">
        <v>551</v>
      </c>
      <c r="R699" s="1">
        <v>5</v>
      </c>
      <c r="S699" s="1">
        <v>18</v>
      </c>
    </row>
    <row r="700" spans="1:19" x14ac:dyDescent="0.25">
      <c r="A700" s="12">
        <v>39576</v>
      </c>
      <c r="B700" s="14" t="s">
        <v>715</v>
      </c>
      <c r="C700" s="14"/>
      <c r="D700" s="14"/>
      <c r="E700" s="1">
        <v>18</v>
      </c>
      <c r="F700" s="1">
        <f t="shared" si="15"/>
        <v>19</v>
      </c>
      <c r="G700" s="1">
        <v>28</v>
      </c>
      <c r="H700" s="1">
        <f t="shared" si="17"/>
        <v>35.75</v>
      </c>
      <c r="I700" s="1">
        <v>43</v>
      </c>
      <c r="J700" s="1">
        <f t="shared" si="13"/>
        <v>49.25</v>
      </c>
      <c r="M700" s="1">
        <v>6</v>
      </c>
      <c r="P700" s="1">
        <v>3</v>
      </c>
      <c r="Q700" s="2" t="s">
        <v>551</v>
      </c>
      <c r="R700" s="1">
        <v>4</v>
      </c>
      <c r="S700" s="1">
        <v>19</v>
      </c>
    </row>
    <row r="701" spans="1:19" x14ac:dyDescent="0.25">
      <c r="A701" s="12">
        <v>39583</v>
      </c>
      <c r="B701" s="14" t="s">
        <v>716</v>
      </c>
      <c r="C701" s="14"/>
      <c r="D701" s="14"/>
      <c r="E701" s="1">
        <v>18</v>
      </c>
      <c r="F701" s="1">
        <f t="shared" si="15"/>
        <v>18</v>
      </c>
      <c r="G701" s="1">
        <v>27</v>
      </c>
      <c r="H701" s="1">
        <f t="shared" si="17"/>
        <v>36.5</v>
      </c>
      <c r="I701" s="1">
        <v>53</v>
      </c>
      <c r="J701" s="1">
        <f t="shared" si="13"/>
        <v>50.5</v>
      </c>
      <c r="M701" s="1">
        <v>9</v>
      </c>
      <c r="P701" s="1">
        <v>6</v>
      </c>
      <c r="Q701" s="2" t="s">
        <v>551</v>
      </c>
      <c r="R701" s="1">
        <v>2</v>
      </c>
      <c r="S701" s="1">
        <v>20</v>
      </c>
    </row>
    <row r="702" spans="1:19" x14ac:dyDescent="0.25">
      <c r="A702" s="12">
        <v>39590</v>
      </c>
      <c r="B702" s="14" t="s">
        <v>717</v>
      </c>
      <c r="C702" s="14"/>
      <c r="D702" s="14"/>
      <c r="E702" s="1">
        <v>12</v>
      </c>
      <c r="F702" s="1">
        <f t="shared" si="15"/>
        <v>17.5</v>
      </c>
      <c r="G702" s="1">
        <v>38</v>
      </c>
      <c r="H702" s="1">
        <f t="shared" si="17"/>
        <v>38.5</v>
      </c>
      <c r="I702" s="1">
        <v>50</v>
      </c>
      <c r="J702" s="1">
        <f t="shared" si="13"/>
        <v>47.5</v>
      </c>
      <c r="M702" s="1">
        <v>10</v>
      </c>
      <c r="P702" s="1">
        <v>5</v>
      </c>
      <c r="Q702" s="2" t="s">
        <v>551</v>
      </c>
      <c r="R702" s="1">
        <v>3</v>
      </c>
      <c r="S702" s="1">
        <v>21</v>
      </c>
    </row>
    <row r="703" spans="1:19" x14ac:dyDescent="0.25">
      <c r="A703" s="12">
        <v>39597</v>
      </c>
      <c r="B703" s="14" t="s">
        <v>718</v>
      </c>
      <c r="C703" s="14"/>
      <c r="D703" s="14"/>
      <c r="E703" s="1">
        <v>17</v>
      </c>
      <c r="F703" s="1">
        <f t="shared" si="15"/>
        <v>21.5</v>
      </c>
      <c r="G703" s="1">
        <v>35</v>
      </c>
      <c r="H703" s="1">
        <f t="shared" si="17"/>
        <v>35.25</v>
      </c>
      <c r="I703" s="1">
        <v>53</v>
      </c>
      <c r="J703" s="1">
        <f t="shared" si="13"/>
        <v>45.75</v>
      </c>
      <c r="M703" s="1">
        <v>11</v>
      </c>
      <c r="P703" s="1">
        <v>3</v>
      </c>
      <c r="Q703" s="2" t="s">
        <v>551</v>
      </c>
      <c r="R703" s="1">
        <v>3</v>
      </c>
      <c r="S703" s="1">
        <v>22</v>
      </c>
    </row>
    <row r="704" spans="1:19" x14ac:dyDescent="0.25">
      <c r="A704" s="12">
        <v>39604</v>
      </c>
      <c r="B704" s="14" t="s">
        <v>719</v>
      </c>
      <c r="C704" s="14"/>
      <c r="D704" s="14"/>
      <c r="E704" s="1">
        <v>22</v>
      </c>
      <c r="F704" s="1">
        <f t="shared" si="15"/>
        <v>17.5</v>
      </c>
      <c r="G704" s="1">
        <v>37</v>
      </c>
      <c r="H704" s="1">
        <f t="shared" si="17"/>
        <v>33.5</v>
      </c>
      <c r="I704" s="1">
        <v>57</v>
      </c>
      <c r="J704" s="1">
        <f t="shared" si="13"/>
        <v>45.75</v>
      </c>
      <c r="M704" s="1">
        <v>9</v>
      </c>
      <c r="P704" s="1">
        <v>3</v>
      </c>
      <c r="Q704" s="2" t="s">
        <v>551</v>
      </c>
      <c r="R704" s="1">
        <v>2</v>
      </c>
      <c r="S704" s="1">
        <v>23</v>
      </c>
    </row>
    <row r="705" spans="1:19" x14ac:dyDescent="0.25">
      <c r="A705" s="12">
        <v>39611</v>
      </c>
      <c r="B705" s="14" t="s">
        <v>720</v>
      </c>
      <c r="C705" s="14"/>
      <c r="D705" s="14"/>
      <c r="E705" s="1">
        <v>19</v>
      </c>
      <c r="F705" s="1">
        <f t="shared" si="15"/>
        <v>14.25</v>
      </c>
      <c r="G705" s="1">
        <v>40</v>
      </c>
      <c r="H705" s="1">
        <f t="shared" si="17"/>
        <v>33.25</v>
      </c>
      <c r="I705" s="1">
        <v>63</v>
      </c>
      <c r="J705" s="1">
        <f t="shared" si="13"/>
        <v>48.5</v>
      </c>
      <c r="M705" s="1">
        <v>8</v>
      </c>
      <c r="P705" s="1">
        <v>4</v>
      </c>
      <c r="Q705" s="2" t="s">
        <v>551</v>
      </c>
      <c r="R705" s="1">
        <v>2</v>
      </c>
      <c r="S705" s="1">
        <v>24</v>
      </c>
    </row>
    <row r="706" spans="1:19" x14ac:dyDescent="0.25">
      <c r="A706" s="12">
        <v>39618</v>
      </c>
      <c r="B706" s="14" t="s">
        <v>721</v>
      </c>
      <c r="C706" s="14"/>
      <c r="D706" s="14"/>
      <c r="E706" s="1">
        <v>28</v>
      </c>
      <c r="F706" s="1">
        <f t="shared" si="15"/>
        <v>16</v>
      </c>
      <c r="G706" s="1">
        <v>36</v>
      </c>
      <c r="H706" s="1">
        <f t="shared" si="17"/>
        <v>35.75</v>
      </c>
      <c r="I706" s="1">
        <v>57</v>
      </c>
      <c r="J706" s="1">
        <f t="shared" si="13"/>
        <v>50.5</v>
      </c>
      <c r="M706" s="1">
        <v>3</v>
      </c>
      <c r="P706" s="1">
        <v>2</v>
      </c>
      <c r="Q706" s="2" t="s">
        <v>551</v>
      </c>
      <c r="R706" s="1">
        <v>5</v>
      </c>
      <c r="S706" s="1">
        <v>25</v>
      </c>
    </row>
    <row r="707" spans="1:19" x14ac:dyDescent="0.25">
      <c r="A707" s="12">
        <v>39625</v>
      </c>
      <c r="B707" s="14" t="s">
        <v>722</v>
      </c>
      <c r="C707" s="14"/>
      <c r="D707" s="14"/>
      <c r="E707" s="1">
        <v>28</v>
      </c>
      <c r="F707" s="1">
        <f t="shared" si="15"/>
        <v>19.75</v>
      </c>
      <c r="G707" s="1">
        <v>35</v>
      </c>
      <c r="H707" s="1">
        <f t="shared" si="17"/>
        <v>31</v>
      </c>
      <c r="I707" s="1">
        <v>52</v>
      </c>
      <c r="J707" s="1">
        <f t="shared" si="13"/>
        <v>48.75</v>
      </c>
      <c r="M707" s="1">
        <v>6</v>
      </c>
      <c r="P707" s="1">
        <v>4</v>
      </c>
      <c r="Q707" s="2" t="s">
        <v>551</v>
      </c>
      <c r="R707" s="1">
        <v>4</v>
      </c>
      <c r="S707" s="1">
        <v>26</v>
      </c>
    </row>
    <row r="708" spans="1:19" x14ac:dyDescent="0.25">
      <c r="A708" s="12">
        <v>39632</v>
      </c>
      <c r="B708" s="14" t="s">
        <v>723</v>
      </c>
      <c r="C708" s="14"/>
      <c r="D708" s="14"/>
      <c r="E708" s="1">
        <v>32</v>
      </c>
      <c r="F708" s="1">
        <f t="shared" si="15"/>
        <v>22.25</v>
      </c>
      <c r="G708" s="1">
        <v>39</v>
      </c>
      <c r="H708" s="1">
        <f t="shared" si="17"/>
        <v>32.75</v>
      </c>
      <c r="I708" s="1">
        <v>61</v>
      </c>
      <c r="J708" s="1">
        <f t="shared" si="13"/>
        <v>52.5</v>
      </c>
      <c r="M708" s="1">
        <v>7</v>
      </c>
      <c r="P708" s="2" t="s">
        <v>551</v>
      </c>
      <c r="Q708" s="2" t="s">
        <v>551</v>
      </c>
      <c r="R708" s="2" t="s">
        <v>551</v>
      </c>
      <c r="S708" s="1">
        <v>27</v>
      </c>
    </row>
    <row r="709" spans="1:19" x14ac:dyDescent="0.25">
      <c r="A709" s="12">
        <v>39639</v>
      </c>
      <c r="B709" s="14" t="s">
        <v>724</v>
      </c>
      <c r="C709" s="14"/>
      <c r="D709" s="14"/>
      <c r="E709" s="1">
        <v>26</v>
      </c>
      <c r="F709" s="1">
        <f t="shared" si="15"/>
        <v>24.5</v>
      </c>
      <c r="G709" s="1">
        <v>34</v>
      </c>
      <c r="H709" s="1">
        <f t="shared" si="17"/>
        <v>39.25</v>
      </c>
      <c r="I709" s="1">
        <v>62</v>
      </c>
      <c r="J709" s="1">
        <f t="shared" si="13"/>
        <v>54</v>
      </c>
      <c r="M709" s="1">
        <v>5</v>
      </c>
      <c r="P709" s="1">
        <v>5</v>
      </c>
      <c r="Q709" s="2" t="s">
        <v>551</v>
      </c>
      <c r="R709" s="1">
        <v>1</v>
      </c>
      <c r="S709" s="1">
        <v>28</v>
      </c>
    </row>
    <row r="710" spans="1:19" x14ac:dyDescent="0.25">
      <c r="A710" s="12">
        <v>39646</v>
      </c>
      <c r="B710" s="14" t="s">
        <v>725</v>
      </c>
      <c r="C710" s="14"/>
      <c r="D710" s="14"/>
      <c r="E710" s="1">
        <v>25</v>
      </c>
      <c r="F710" s="1">
        <f t="shared" si="15"/>
        <v>22</v>
      </c>
      <c r="G710" s="1">
        <v>41</v>
      </c>
      <c r="H710" s="1">
        <f t="shared" si="17"/>
        <v>38.75</v>
      </c>
      <c r="I710" s="1">
        <v>65</v>
      </c>
      <c r="J710" s="1">
        <f t="shared" si="13"/>
        <v>54.25</v>
      </c>
      <c r="M710" s="1">
        <v>8</v>
      </c>
      <c r="P710" s="1">
        <v>3</v>
      </c>
      <c r="Q710" s="2" t="s">
        <v>551</v>
      </c>
      <c r="R710" s="1">
        <v>3</v>
      </c>
      <c r="S710" s="1">
        <v>29</v>
      </c>
    </row>
    <row r="711" spans="1:19" x14ac:dyDescent="0.25">
      <c r="A711" s="12">
        <v>39653</v>
      </c>
      <c r="B711" s="14" t="s">
        <v>726</v>
      </c>
      <c r="C711" s="14"/>
      <c r="D711" s="14"/>
      <c r="E711" s="1">
        <v>27</v>
      </c>
      <c r="F711" s="1">
        <f t="shared" si="15"/>
        <v>23.25</v>
      </c>
      <c r="G711" s="1">
        <v>53</v>
      </c>
      <c r="H711" s="1">
        <f t="shared" si="17"/>
        <v>40.25</v>
      </c>
      <c r="I711" s="1">
        <v>66</v>
      </c>
      <c r="J711" s="1">
        <f t="shared" si="13"/>
        <v>55.25</v>
      </c>
      <c r="M711" s="1">
        <v>8</v>
      </c>
      <c r="P711" s="2" t="s">
        <v>551</v>
      </c>
      <c r="Q711" s="2" t="s">
        <v>551</v>
      </c>
      <c r="R711" s="2" t="s">
        <v>551</v>
      </c>
      <c r="S711" s="1">
        <v>30</v>
      </c>
    </row>
    <row r="712" spans="1:19" x14ac:dyDescent="0.25">
      <c r="A712" s="12">
        <v>39660</v>
      </c>
      <c r="B712" s="14" t="s">
        <v>727</v>
      </c>
      <c r="C712" s="14"/>
      <c r="D712" s="14"/>
      <c r="E712" s="1">
        <v>35</v>
      </c>
      <c r="F712" s="1">
        <f t="shared" si="15"/>
        <v>23.5</v>
      </c>
      <c r="G712" s="1">
        <v>40</v>
      </c>
      <c r="H712" s="1">
        <f t="shared" si="17"/>
        <v>42.75</v>
      </c>
      <c r="I712" s="1">
        <v>64</v>
      </c>
      <c r="J712" s="1">
        <f t="shared" si="13"/>
        <v>55.75</v>
      </c>
      <c r="M712" s="1">
        <v>11</v>
      </c>
      <c r="P712" s="1">
        <v>2</v>
      </c>
      <c r="Q712" s="2" t="s">
        <v>551</v>
      </c>
      <c r="R712" s="2" t="s">
        <v>551</v>
      </c>
      <c r="S712" s="1">
        <v>31</v>
      </c>
    </row>
    <row r="713" spans="1:19" x14ac:dyDescent="0.25">
      <c r="A713" s="12">
        <v>39667</v>
      </c>
      <c r="B713" s="14" t="s">
        <v>728</v>
      </c>
      <c r="C713" s="14"/>
      <c r="D713" s="14"/>
      <c r="E713" s="1">
        <v>34</v>
      </c>
      <c r="F713" s="1">
        <f t="shared" si="15"/>
        <v>26</v>
      </c>
      <c r="G713" s="1">
        <v>47</v>
      </c>
      <c r="H713" s="1">
        <f t="shared" si="17"/>
        <v>38.75</v>
      </c>
      <c r="I713" s="1">
        <v>71</v>
      </c>
      <c r="J713" s="1">
        <f t="shared" si="13"/>
        <v>56.5</v>
      </c>
      <c r="M713" s="1">
        <v>8</v>
      </c>
      <c r="P713" s="2" t="s">
        <v>551</v>
      </c>
      <c r="Q713" s="2" t="s">
        <v>551</v>
      </c>
      <c r="R713" s="2" t="s">
        <v>551</v>
      </c>
      <c r="S713" s="1">
        <v>32</v>
      </c>
    </row>
    <row r="714" spans="1:19" x14ac:dyDescent="0.25">
      <c r="A714" s="12">
        <v>39674</v>
      </c>
      <c r="B714" s="14" t="s">
        <v>729</v>
      </c>
      <c r="C714" s="14"/>
      <c r="D714" s="14"/>
      <c r="E714" s="1">
        <v>32</v>
      </c>
      <c r="F714" s="1">
        <f t="shared" si="15"/>
        <v>26</v>
      </c>
      <c r="G714" s="1">
        <v>50</v>
      </c>
      <c r="H714" s="1">
        <f t="shared" si="17"/>
        <v>43.75</v>
      </c>
      <c r="I714" s="1">
        <v>59</v>
      </c>
      <c r="J714" s="1">
        <f t="shared" si="13"/>
        <v>54</v>
      </c>
      <c r="M714" s="1">
        <v>5</v>
      </c>
      <c r="P714" s="2" t="s">
        <v>551</v>
      </c>
      <c r="Q714" s="2" t="s">
        <v>551</v>
      </c>
      <c r="R714" s="2" t="s">
        <v>551</v>
      </c>
      <c r="S714" s="1">
        <v>33</v>
      </c>
    </row>
    <row r="715" spans="1:19" x14ac:dyDescent="0.25">
      <c r="A715" s="12">
        <v>39681</v>
      </c>
      <c r="B715" s="14" t="s">
        <v>730</v>
      </c>
      <c r="C715" s="14"/>
      <c r="D715" s="14"/>
      <c r="E715" s="1">
        <v>24</v>
      </c>
      <c r="F715" s="1">
        <f t="shared" si="15"/>
        <v>29.75</v>
      </c>
      <c r="G715" s="1">
        <v>47</v>
      </c>
      <c r="H715" s="1">
        <f t="shared" ref="H715:H746" si="18">AVERAGE(G663,G611,G559,G507)</f>
        <v>41.5</v>
      </c>
      <c r="I715" s="1">
        <v>55</v>
      </c>
      <c r="J715" s="1">
        <f t="shared" si="13"/>
        <v>54.75</v>
      </c>
      <c r="M715" s="1">
        <v>9</v>
      </c>
      <c r="P715" s="2" t="s">
        <v>551</v>
      </c>
      <c r="Q715" s="2" t="s">
        <v>551</v>
      </c>
      <c r="R715" s="2" t="s">
        <v>551</v>
      </c>
      <c r="S715" s="1">
        <v>34</v>
      </c>
    </row>
    <row r="716" spans="1:19" x14ac:dyDescent="0.25">
      <c r="A716" s="12">
        <v>39688</v>
      </c>
      <c r="B716" s="14" t="s">
        <v>731</v>
      </c>
      <c r="C716" s="14"/>
      <c r="D716" s="14"/>
      <c r="E716" s="1">
        <v>41</v>
      </c>
      <c r="F716" s="1">
        <f t="shared" si="15"/>
        <v>22.25</v>
      </c>
      <c r="G716" s="1">
        <v>42</v>
      </c>
      <c r="H716" s="1">
        <f t="shared" si="18"/>
        <v>36.5</v>
      </c>
      <c r="I716" s="1">
        <v>51</v>
      </c>
      <c r="J716" s="1">
        <f t="shared" si="13"/>
        <v>51.75</v>
      </c>
      <c r="M716" s="1">
        <v>12</v>
      </c>
      <c r="P716" s="2" t="s">
        <v>551</v>
      </c>
      <c r="Q716" s="2" t="s">
        <v>551</v>
      </c>
      <c r="R716" s="2" t="s">
        <v>551</v>
      </c>
      <c r="S716" s="1">
        <v>35</v>
      </c>
    </row>
    <row r="717" spans="1:19" x14ac:dyDescent="0.25">
      <c r="A717" s="12">
        <v>39695</v>
      </c>
      <c r="B717" s="14" t="s">
        <v>732</v>
      </c>
      <c r="C717" s="14"/>
      <c r="D717" s="14"/>
      <c r="E717" s="1">
        <v>32</v>
      </c>
      <c r="F717" s="1">
        <f t="shared" si="15"/>
        <v>30.75</v>
      </c>
      <c r="G717" s="1">
        <v>27</v>
      </c>
      <c r="H717" s="1">
        <f t="shared" si="18"/>
        <v>34</v>
      </c>
      <c r="I717" s="1">
        <v>73</v>
      </c>
      <c r="J717" s="1">
        <f t="shared" si="13"/>
        <v>49</v>
      </c>
      <c r="M717" s="1">
        <v>12</v>
      </c>
      <c r="P717" s="2" t="s">
        <v>551</v>
      </c>
      <c r="Q717" s="2" t="s">
        <v>551</v>
      </c>
      <c r="R717" s="2" t="s">
        <v>551</v>
      </c>
      <c r="S717" s="1">
        <v>36</v>
      </c>
    </row>
    <row r="718" spans="1:19" x14ac:dyDescent="0.25">
      <c r="A718" s="12">
        <v>39702</v>
      </c>
      <c r="B718" s="14" t="s">
        <v>733</v>
      </c>
      <c r="C718" s="14"/>
      <c r="D718" s="14"/>
      <c r="E718" s="1">
        <v>46</v>
      </c>
      <c r="F718" s="1">
        <f t="shared" si="15"/>
        <v>30.75</v>
      </c>
      <c r="G718" s="1">
        <v>23</v>
      </c>
      <c r="H718" s="1">
        <f t="shared" si="18"/>
        <v>42.5</v>
      </c>
      <c r="I718" s="1">
        <v>55</v>
      </c>
      <c r="J718" s="1">
        <f t="shared" si="13"/>
        <v>60.5</v>
      </c>
      <c r="M718" s="1">
        <v>14</v>
      </c>
      <c r="P718" s="2" t="s">
        <v>551</v>
      </c>
      <c r="Q718" s="2" t="s">
        <v>551</v>
      </c>
      <c r="R718" s="2" t="s">
        <v>551</v>
      </c>
      <c r="S718" s="1">
        <v>37</v>
      </c>
    </row>
    <row r="719" spans="1:19" x14ac:dyDescent="0.25">
      <c r="A719" s="12">
        <v>39709</v>
      </c>
      <c r="B719" s="14" t="s">
        <v>734</v>
      </c>
      <c r="C719" s="14"/>
      <c r="D719" s="14"/>
      <c r="E719" s="1">
        <v>40</v>
      </c>
      <c r="F719" s="1">
        <f t="shared" si="15"/>
        <v>29.25</v>
      </c>
      <c r="G719" s="1">
        <v>37</v>
      </c>
      <c r="H719" s="1">
        <f t="shared" si="18"/>
        <v>43</v>
      </c>
      <c r="I719" s="1">
        <v>59</v>
      </c>
      <c r="J719" s="1">
        <f t="shared" si="13"/>
        <v>57.5</v>
      </c>
      <c r="M719" s="1">
        <v>12</v>
      </c>
      <c r="P719" s="1">
        <v>2</v>
      </c>
      <c r="Q719" s="2" t="s">
        <v>551</v>
      </c>
      <c r="R719" s="1">
        <v>4</v>
      </c>
      <c r="S719" s="1">
        <v>38</v>
      </c>
    </row>
    <row r="720" spans="1:19" x14ac:dyDescent="0.25">
      <c r="A720" s="12">
        <v>39716</v>
      </c>
      <c r="B720" s="14" t="s">
        <v>735</v>
      </c>
      <c r="C720" s="14"/>
      <c r="D720" s="14"/>
      <c r="E720" s="1">
        <v>32</v>
      </c>
      <c r="F720" s="1">
        <f t="shared" si="15"/>
        <v>28</v>
      </c>
      <c r="G720" s="1">
        <v>50</v>
      </c>
      <c r="H720" s="1">
        <f t="shared" si="18"/>
        <v>41.25</v>
      </c>
      <c r="I720" s="1">
        <v>63</v>
      </c>
      <c r="J720" s="1">
        <f t="shared" si="13"/>
        <v>69.25</v>
      </c>
      <c r="M720" s="1">
        <v>13</v>
      </c>
      <c r="P720" s="1">
        <v>3</v>
      </c>
      <c r="Q720" s="2" t="s">
        <v>551</v>
      </c>
      <c r="R720" s="1">
        <v>0</v>
      </c>
      <c r="S720" s="1">
        <v>39</v>
      </c>
    </row>
    <row r="721" spans="1:19" x14ac:dyDescent="0.25">
      <c r="A721" s="12">
        <v>39723</v>
      </c>
      <c r="B721" s="14" t="s">
        <v>736</v>
      </c>
      <c r="C721" s="14"/>
      <c r="D721" s="14"/>
      <c r="E721" s="1">
        <v>38</v>
      </c>
      <c r="F721" s="1">
        <f t="shared" si="15"/>
        <v>36.75</v>
      </c>
      <c r="G721" s="1">
        <v>44</v>
      </c>
      <c r="H721" s="1">
        <f t="shared" si="18"/>
        <v>48.75</v>
      </c>
      <c r="I721" s="1">
        <v>56</v>
      </c>
      <c r="J721" s="1">
        <f t="shared" si="13"/>
        <v>71.5</v>
      </c>
      <c r="M721" s="1">
        <v>7</v>
      </c>
      <c r="P721" s="1">
        <v>0</v>
      </c>
      <c r="Q721" s="2" t="s">
        <v>551</v>
      </c>
      <c r="R721" s="1">
        <v>3</v>
      </c>
      <c r="S721" s="1">
        <v>40</v>
      </c>
    </row>
    <row r="722" spans="1:19" x14ac:dyDescent="0.25">
      <c r="A722" s="12">
        <v>39730</v>
      </c>
      <c r="B722" s="14" t="s">
        <v>737</v>
      </c>
      <c r="C722" s="14"/>
      <c r="D722" s="14"/>
      <c r="E722" s="1">
        <v>34</v>
      </c>
      <c r="F722" s="1">
        <f t="shared" si="15"/>
        <v>35</v>
      </c>
      <c r="G722" s="1">
        <v>38</v>
      </c>
      <c r="H722" s="1">
        <f t="shared" si="18"/>
        <v>50.75</v>
      </c>
      <c r="I722" s="1">
        <v>60</v>
      </c>
      <c r="J722" s="1">
        <f t="shared" si="13"/>
        <v>66.75</v>
      </c>
      <c r="M722" s="1">
        <v>7</v>
      </c>
      <c r="P722" s="1">
        <v>2</v>
      </c>
      <c r="Q722" s="2" t="s">
        <v>551</v>
      </c>
      <c r="R722" s="1">
        <v>0</v>
      </c>
      <c r="S722" s="1">
        <v>41</v>
      </c>
    </row>
    <row r="723" spans="1:19" x14ac:dyDescent="0.25">
      <c r="A723" s="12">
        <v>39737</v>
      </c>
      <c r="B723" s="14" t="s">
        <v>738</v>
      </c>
      <c r="C723" s="14"/>
      <c r="D723" s="14"/>
      <c r="E723" s="1">
        <v>28</v>
      </c>
      <c r="F723" s="1">
        <f t="shared" si="15"/>
        <v>33.25</v>
      </c>
      <c r="G723" s="1">
        <v>52</v>
      </c>
      <c r="H723" s="1">
        <f t="shared" si="18"/>
        <v>50</v>
      </c>
      <c r="I723" s="1">
        <v>59</v>
      </c>
      <c r="J723" s="1">
        <f t="shared" si="13"/>
        <v>72.25</v>
      </c>
      <c r="M723" s="1">
        <v>11</v>
      </c>
      <c r="P723" s="1">
        <v>8</v>
      </c>
      <c r="Q723" s="2" t="s">
        <v>551</v>
      </c>
      <c r="R723" s="1">
        <v>0</v>
      </c>
      <c r="S723" s="1">
        <v>42</v>
      </c>
    </row>
    <row r="724" spans="1:19" x14ac:dyDescent="0.25">
      <c r="A724" s="12">
        <v>39744</v>
      </c>
      <c r="B724" s="14" t="s">
        <v>739</v>
      </c>
      <c r="C724" s="14"/>
      <c r="D724" s="14"/>
      <c r="E724" s="1">
        <v>30</v>
      </c>
      <c r="F724" s="1">
        <f t="shared" si="15"/>
        <v>30.5</v>
      </c>
      <c r="G724" s="1">
        <v>42</v>
      </c>
      <c r="H724" s="1">
        <f t="shared" si="18"/>
        <v>46.25</v>
      </c>
      <c r="I724" s="1">
        <v>60</v>
      </c>
      <c r="J724" s="1">
        <f t="shared" si="13"/>
        <v>70.75</v>
      </c>
      <c r="M724" s="1">
        <v>10</v>
      </c>
      <c r="P724" s="2" t="s">
        <v>551</v>
      </c>
      <c r="Q724" s="2" t="s">
        <v>551</v>
      </c>
      <c r="R724" s="2" t="s">
        <v>551</v>
      </c>
      <c r="S724" s="1">
        <v>43</v>
      </c>
    </row>
    <row r="725" spans="1:19" x14ac:dyDescent="0.25">
      <c r="A725" s="12">
        <v>39751</v>
      </c>
      <c r="B725" s="14" t="s">
        <v>740</v>
      </c>
      <c r="C725" s="14"/>
      <c r="D725" s="14"/>
      <c r="E725" s="1">
        <v>33</v>
      </c>
      <c r="F725" s="1">
        <f t="shared" si="15"/>
        <v>38.75</v>
      </c>
      <c r="G725" s="1">
        <v>37</v>
      </c>
      <c r="H725" s="1">
        <f t="shared" si="18"/>
        <v>49.75</v>
      </c>
      <c r="I725" s="1">
        <v>53</v>
      </c>
      <c r="J725" s="1">
        <f t="shared" si="13"/>
        <v>68</v>
      </c>
      <c r="M725" s="1">
        <v>11</v>
      </c>
      <c r="P725" s="1">
        <v>7</v>
      </c>
      <c r="Q725" s="2" t="s">
        <v>551</v>
      </c>
      <c r="R725" s="1">
        <v>1</v>
      </c>
      <c r="S725" s="1">
        <v>44</v>
      </c>
    </row>
    <row r="726" spans="1:19" x14ac:dyDescent="0.25">
      <c r="A726" s="12">
        <v>39758</v>
      </c>
      <c r="B726" s="14" t="s">
        <v>741</v>
      </c>
      <c r="C726" s="14"/>
      <c r="D726" s="14"/>
      <c r="E726" s="1">
        <v>35</v>
      </c>
      <c r="F726" s="1">
        <f t="shared" si="15"/>
        <v>37.75</v>
      </c>
      <c r="G726" s="1">
        <v>38</v>
      </c>
      <c r="H726" s="1">
        <f t="shared" si="18"/>
        <v>45.25</v>
      </c>
      <c r="I726" s="1">
        <v>67</v>
      </c>
      <c r="J726" s="1">
        <f t="shared" si="13"/>
        <v>61.75</v>
      </c>
      <c r="M726" s="1">
        <v>8</v>
      </c>
      <c r="P726" s="1">
        <v>8</v>
      </c>
      <c r="Q726" s="2" t="s">
        <v>551</v>
      </c>
      <c r="R726" s="1">
        <v>1</v>
      </c>
      <c r="S726" s="1">
        <v>45</v>
      </c>
    </row>
    <row r="727" spans="1:19" x14ac:dyDescent="0.25">
      <c r="A727" s="12">
        <v>39765</v>
      </c>
      <c r="B727" s="14" t="s">
        <v>742</v>
      </c>
      <c r="C727" s="14"/>
      <c r="D727" s="14"/>
      <c r="E727" s="1">
        <v>39</v>
      </c>
      <c r="F727" s="1">
        <f t="shared" si="15"/>
        <v>37</v>
      </c>
      <c r="G727" s="1">
        <v>42</v>
      </c>
      <c r="H727" s="1">
        <f t="shared" si="18"/>
        <v>48.25</v>
      </c>
      <c r="I727" s="1">
        <v>63</v>
      </c>
      <c r="J727" s="1">
        <f t="shared" si="13"/>
        <v>64.25</v>
      </c>
      <c r="M727" s="1">
        <v>14</v>
      </c>
      <c r="P727" s="1">
        <v>7</v>
      </c>
      <c r="Q727" s="2" t="s">
        <v>551</v>
      </c>
      <c r="R727" s="1">
        <v>2</v>
      </c>
      <c r="S727" s="1">
        <v>46</v>
      </c>
    </row>
    <row r="728" spans="1:19" x14ac:dyDescent="0.25">
      <c r="A728" s="12">
        <v>39772</v>
      </c>
      <c r="B728" s="14" t="s">
        <v>743</v>
      </c>
      <c r="C728" s="14"/>
      <c r="D728" s="14"/>
      <c r="E728" s="1">
        <v>47</v>
      </c>
      <c r="F728" s="1">
        <f t="shared" si="15"/>
        <v>35.5</v>
      </c>
      <c r="G728" s="1">
        <v>35</v>
      </c>
      <c r="H728" s="1">
        <f t="shared" si="18"/>
        <v>48.5</v>
      </c>
      <c r="I728" s="1">
        <v>63</v>
      </c>
      <c r="J728" s="1">
        <f t="shared" si="13"/>
        <v>64.5</v>
      </c>
      <c r="M728" s="1">
        <v>11</v>
      </c>
      <c r="P728" s="1">
        <v>6</v>
      </c>
      <c r="Q728" s="2" t="s">
        <v>551</v>
      </c>
      <c r="R728" s="1">
        <v>0</v>
      </c>
      <c r="S728" s="1">
        <v>47</v>
      </c>
    </row>
    <row r="729" spans="1:19" x14ac:dyDescent="0.25">
      <c r="A729" s="12">
        <v>39779</v>
      </c>
      <c r="B729" s="14" t="s">
        <v>744</v>
      </c>
      <c r="C729" s="14"/>
      <c r="D729" s="14"/>
      <c r="E729" s="1">
        <v>37</v>
      </c>
      <c r="F729" s="1">
        <f t="shared" si="15"/>
        <v>31</v>
      </c>
      <c r="G729" s="1">
        <v>44</v>
      </c>
      <c r="H729" s="1">
        <f t="shared" si="18"/>
        <v>48.5</v>
      </c>
      <c r="I729" s="1">
        <v>55</v>
      </c>
      <c r="J729" s="1">
        <f t="shared" si="13"/>
        <v>64.25</v>
      </c>
      <c r="M729" s="1">
        <v>8</v>
      </c>
      <c r="P729" s="2" t="s">
        <v>551</v>
      </c>
      <c r="Q729" s="2" t="s">
        <v>551</v>
      </c>
      <c r="R729" s="2" t="s">
        <v>551</v>
      </c>
      <c r="S729" s="1">
        <v>48</v>
      </c>
    </row>
    <row r="730" spans="1:19" x14ac:dyDescent="0.25">
      <c r="A730" s="12">
        <v>39786</v>
      </c>
      <c r="B730" s="14" t="s">
        <v>745</v>
      </c>
      <c r="C730" s="14"/>
      <c r="D730" s="14"/>
      <c r="E730" s="1">
        <v>44</v>
      </c>
      <c r="F730" s="1">
        <f t="shared" si="15"/>
        <v>27.5</v>
      </c>
      <c r="G730" s="1">
        <v>38</v>
      </c>
      <c r="H730" s="1">
        <f t="shared" si="18"/>
        <v>49.5</v>
      </c>
      <c r="I730" s="1">
        <v>63</v>
      </c>
      <c r="J730" s="1">
        <f t="shared" si="13"/>
        <v>70.5</v>
      </c>
      <c r="M730" s="1">
        <v>11</v>
      </c>
      <c r="P730" s="1">
        <v>9</v>
      </c>
      <c r="Q730" s="2" t="s">
        <v>551</v>
      </c>
      <c r="R730" s="1">
        <v>1</v>
      </c>
      <c r="S730" s="1">
        <v>49</v>
      </c>
    </row>
    <row r="731" spans="1:19" x14ac:dyDescent="0.25">
      <c r="A731" s="12">
        <v>39793</v>
      </c>
      <c r="B731" s="14" t="s">
        <v>746</v>
      </c>
      <c r="C731" s="14"/>
      <c r="D731" s="14"/>
      <c r="E731" s="1">
        <v>41</v>
      </c>
      <c r="F731" s="1">
        <f t="shared" si="15"/>
        <v>32.25</v>
      </c>
      <c r="G731" s="1">
        <v>44</v>
      </c>
      <c r="H731" s="1">
        <f t="shared" si="18"/>
        <v>49.25</v>
      </c>
      <c r="I731" s="1">
        <v>48</v>
      </c>
      <c r="J731" s="1">
        <f t="shared" si="13"/>
        <v>65.5</v>
      </c>
      <c r="M731" s="1">
        <v>10</v>
      </c>
      <c r="P731" s="1">
        <v>9</v>
      </c>
      <c r="Q731" s="2" t="s">
        <v>551</v>
      </c>
      <c r="R731" s="1">
        <v>3</v>
      </c>
      <c r="S731" s="1">
        <v>50</v>
      </c>
    </row>
    <row r="732" spans="1:19" x14ac:dyDescent="0.25">
      <c r="A732" s="12">
        <v>39800</v>
      </c>
      <c r="B732" s="14" t="s">
        <v>747</v>
      </c>
      <c r="C732" s="14"/>
      <c r="D732" s="14"/>
      <c r="E732" s="1">
        <v>40</v>
      </c>
      <c r="F732" s="1">
        <f t="shared" si="15"/>
        <v>31.5</v>
      </c>
      <c r="G732" s="1">
        <v>33</v>
      </c>
      <c r="H732" s="1">
        <f t="shared" si="18"/>
        <v>45.25</v>
      </c>
      <c r="I732" s="1">
        <v>38</v>
      </c>
      <c r="J732" s="1">
        <f t="shared" si="13"/>
        <v>69.5</v>
      </c>
      <c r="M732" s="1">
        <v>9</v>
      </c>
      <c r="P732" s="1">
        <v>9</v>
      </c>
      <c r="Q732" s="2" t="s">
        <v>551</v>
      </c>
      <c r="R732" s="1">
        <v>2</v>
      </c>
      <c r="S732" s="1">
        <v>51</v>
      </c>
    </row>
    <row r="733" spans="1:19" x14ac:dyDescent="0.25">
      <c r="A733" s="12">
        <v>39807</v>
      </c>
      <c r="B733" s="14" t="s">
        <v>748</v>
      </c>
      <c r="C733" s="14"/>
      <c r="D733" s="14"/>
      <c r="E733" s="1">
        <v>38</v>
      </c>
      <c r="F733" s="1">
        <f t="shared" si="15"/>
        <v>37</v>
      </c>
      <c r="G733" s="1">
        <v>38</v>
      </c>
      <c r="H733" s="1">
        <f t="shared" si="18"/>
        <v>39.5</v>
      </c>
      <c r="I733" s="1">
        <v>54</v>
      </c>
      <c r="J733" s="1">
        <f t="shared" si="13"/>
        <v>73.5</v>
      </c>
      <c r="M733" s="1">
        <v>12</v>
      </c>
      <c r="P733" s="1">
        <v>7</v>
      </c>
      <c r="Q733" s="2" t="s">
        <v>551</v>
      </c>
      <c r="R733" s="1">
        <v>3</v>
      </c>
      <c r="S733" s="1">
        <v>52</v>
      </c>
    </row>
    <row r="734" spans="1:19" x14ac:dyDescent="0.25">
      <c r="A734" s="12">
        <v>39814</v>
      </c>
      <c r="B734" s="14" t="s">
        <v>749</v>
      </c>
      <c r="C734" s="14"/>
      <c r="D734" s="14"/>
      <c r="E734" s="1">
        <v>43</v>
      </c>
      <c r="F734" s="1">
        <f t="shared" si="15"/>
        <v>35</v>
      </c>
      <c r="G734" s="1">
        <v>36</v>
      </c>
      <c r="H734" s="1">
        <f t="shared" si="18"/>
        <v>43</v>
      </c>
      <c r="I734" s="1">
        <v>49</v>
      </c>
      <c r="J734" s="1">
        <f t="shared" si="13"/>
        <v>70.5</v>
      </c>
      <c r="M734" s="1">
        <v>4</v>
      </c>
      <c r="P734" s="1">
        <v>8</v>
      </c>
      <c r="Q734" s="2" t="s">
        <v>551</v>
      </c>
      <c r="R734" s="1">
        <v>3</v>
      </c>
      <c r="S734" s="1">
        <v>1</v>
      </c>
    </row>
    <row r="735" spans="1:19" x14ac:dyDescent="0.25">
      <c r="A735" s="12">
        <v>39821</v>
      </c>
      <c r="B735" s="14" t="s">
        <v>750</v>
      </c>
      <c r="C735" s="14"/>
      <c r="D735" s="14"/>
      <c r="E735" s="1">
        <v>32</v>
      </c>
      <c r="F735" s="1">
        <f t="shared" si="15"/>
        <v>34.25</v>
      </c>
      <c r="G735" s="1">
        <v>36</v>
      </c>
      <c r="H735" s="1">
        <f t="shared" si="18"/>
        <v>47.5</v>
      </c>
      <c r="I735" s="1">
        <v>45</v>
      </c>
      <c r="J735" s="1">
        <f t="shared" si="13"/>
        <v>77</v>
      </c>
      <c r="M735" s="1">
        <v>2</v>
      </c>
      <c r="P735" s="1">
        <v>7</v>
      </c>
      <c r="Q735" s="2" t="s">
        <v>551</v>
      </c>
      <c r="R735" s="1">
        <v>2</v>
      </c>
      <c r="S735" s="1">
        <v>2</v>
      </c>
    </row>
    <row r="736" spans="1:19" x14ac:dyDescent="0.25">
      <c r="A736" s="12">
        <v>39828</v>
      </c>
      <c r="B736" s="14" t="s">
        <v>751</v>
      </c>
      <c r="C736" s="14"/>
      <c r="D736" s="14"/>
      <c r="E736" s="1">
        <v>43</v>
      </c>
      <c r="F736" s="1">
        <f t="shared" si="15"/>
        <v>33.25</v>
      </c>
      <c r="G736" s="1">
        <v>36</v>
      </c>
      <c r="H736" s="1">
        <f t="shared" si="18"/>
        <v>51.25</v>
      </c>
      <c r="I736" s="1">
        <v>49</v>
      </c>
      <c r="J736" s="1">
        <f t="shared" si="13"/>
        <v>73.75</v>
      </c>
      <c r="M736" s="1">
        <v>4</v>
      </c>
      <c r="P736" s="1">
        <v>8</v>
      </c>
      <c r="Q736" s="2" t="s">
        <v>551</v>
      </c>
      <c r="R736" s="1">
        <v>3</v>
      </c>
      <c r="S736" s="1">
        <v>3</v>
      </c>
    </row>
    <row r="737" spans="1:19" x14ac:dyDescent="0.25">
      <c r="A737" s="12">
        <v>39835</v>
      </c>
      <c r="B737" s="14" t="s">
        <v>752</v>
      </c>
      <c r="C737" s="14"/>
      <c r="D737" s="14"/>
      <c r="E737" s="1">
        <v>49</v>
      </c>
      <c r="F737" s="1">
        <f t="shared" si="15"/>
        <v>35.25</v>
      </c>
      <c r="G737" s="1">
        <v>51</v>
      </c>
      <c r="H737" s="1">
        <f t="shared" si="18"/>
        <v>46.75</v>
      </c>
      <c r="I737" s="1">
        <v>57</v>
      </c>
      <c r="J737" s="1">
        <f t="shared" si="13"/>
        <v>72.75</v>
      </c>
      <c r="M737" s="1">
        <v>14</v>
      </c>
      <c r="P737" s="1">
        <v>13</v>
      </c>
      <c r="Q737" s="2" t="s">
        <v>551</v>
      </c>
      <c r="R737" s="1">
        <v>3</v>
      </c>
      <c r="S737" s="1">
        <v>4</v>
      </c>
    </row>
    <row r="738" spans="1:19" x14ac:dyDescent="0.25">
      <c r="A738" s="12">
        <v>39842</v>
      </c>
      <c r="B738" s="14" t="s">
        <v>753</v>
      </c>
      <c r="C738" s="14"/>
      <c r="D738" s="14"/>
      <c r="E738" s="1">
        <v>45</v>
      </c>
      <c r="F738" s="1">
        <f t="shared" si="15"/>
        <v>43.5</v>
      </c>
      <c r="G738" s="1">
        <v>40</v>
      </c>
      <c r="H738" s="1">
        <f t="shared" si="18"/>
        <v>46.75</v>
      </c>
      <c r="I738" s="1">
        <v>65</v>
      </c>
      <c r="J738" s="1">
        <f t="shared" si="13"/>
        <v>69.75</v>
      </c>
      <c r="M738" s="1">
        <v>16</v>
      </c>
      <c r="P738" s="1">
        <v>7</v>
      </c>
      <c r="Q738" s="2" t="s">
        <v>551</v>
      </c>
      <c r="R738" s="1">
        <v>2</v>
      </c>
      <c r="S738" s="1">
        <v>5</v>
      </c>
    </row>
    <row r="739" spans="1:19" x14ac:dyDescent="0.25">
      <c r="A739" s="12">
        <v>39849</v>
      </c>
      <c r="B739" s="14" t="s">
        <v>754</v>
      </c>
      <c r="C739" s="14"/>
      <c r="D739" s="14"/>
      <c r="E739" s="1">
        <v>54</v>
      </c>
      <c r="F739" s="1">
        <f t="shared" si="15"/>
        <v>43.75</v>
      </c>
      <c r="G739" s="1">
        <v>45</v>
      </c>
      <c r="H739" s="1">
        <f t="shared" si="18"/>
        <v>46</v>
      </c>
      <c r="I739" s="1">
        <v>54</v>
      </c>
      <c r="J739" s="1">
        <f t="shared" si="13"/>
        <v>67.5</v>
      </c>
      <c r="M739" s="1">
        <v>10</v>
      </c>
      <c r="P739" s="1">
        <v>6</v>
      </c>
      <c r="Q739" s="2" t="s">
        <v>551</v>
      </c>
      <c r="R739" s="1">
        <v>0</v>
      </c>
      <c r="S739" s="1">
        <v>6</v>
      </c>
    </row>
    <row r="740" spans="1:19" x14ac:dyDescent="0.25">
      <c r="A740" s="12">
        <v>39856</v>
      </c>
      <c r="B740" s="14" t="s">
        <v>755</v>
      </c>
      <c r="C740" s="14"/>
      <c r="D740" s="14"/>
      <c r="E740" s="1">
        <v>30</v>
      </c>
      <c r="F740" s="1">
        <f t="shared" si="15"/>
        <v>42</v>
      </c>
      <c r="G740" s="1">
        <v>43</v>
      </c>
      <c r="H740" s="1">
        <f t="shared" si="18"/>
        <v>48.5</v>
      </c>
      <c r="I740" s="1">
        <v>69</v>
      </c>
      <c r="J740" s="1">
        <f t="shared" si="13"/>
        <v>66.25</v>
      </c>
      <c r="M740" s="1">
        <v>5</v>
      </c>
      <c r="P740" s="1">
        <v>9</v>
      </c>
      <c r="Q740" s="2" t="s">
        <v>551</v>
      </c>
      <c r="R740" s="1">
        <v>0</v>
      </c>
      <c r="S740" s="1">
        <v>7</v>
      </c>
    </row>
    <row r="741" spans="1:19" x14ac:dyDescent="0.25">
      <c r="A741" s="12">
        <v>39863</v>
      </c>
      <c r="B741" s="14" t="s">
        <v>756</v>
      </c>
      <c r="C741" s="14"/>
      <c r="D741" s="14"/>
      <c r="E741" s="1">
        <v>32</v>
      </c>
      <c r="F741" s="1">
        <f t="shared" si="15"/>
        <v>43.5</v>
      </c>
      <c r="G741" s="1">
        <v>37</v>
      </c>
      <c r="H741" s="1">
        <f t="shared" si="18"/>
        <v>46.5</v>
      </c>
      <c r="I741" s="1">
        <v>55</v>
      </c>
      <c r="J741" s="1">
        <f t="shared" si="13"/>
        <v>61.25</v>
      </c>
      <c r="M741" s="1">
        <v>8</v>
      </c>
      <c r="P741" s="1">
        <v>10</v>
      </c>
      <c r="Q741" s="2" t="s">
        <v>551</v>
      </c>
      <c r="R741" s="1">
        <v>2</v>
      </c>
      <c r="S741" s="1">
        <v>8</v>
      </c>
    </row>
    <row r="742" spans="1:19" x14ac:dyDescent="0.25">
      <c r="A742" s="12">
        <v>39870</v>
      </c>
      <c r="B742" s="14" t="s">
        <v>757</v>
      </c>
      <c r="C742" s="14"/>
      <c r="D742" s="14"/>
      <c r="E742" s="1">
        <v>39</v>
      </c>
      <c r="F742" s="1">
        <f t="shared" si="15"/>
        <v>39.75</v>
      </c>
      <c r="G742" s="1">
        <v>39</v>
      </c>
      <c r="H742" s="1">
        <f t="shared" si="18"/>
        <v>47</v>
      </c>
      <c r="I742" s="1">
        <v>59</v>
      </c>
      <c r="J742" s="1">
        <f t="shared" si="13"/>
        <v>63.75</v>
      </c>
      <c r="M742" s="1">
        <v>6</v>
      </c>
      <c r="P742" s="1">
        <v>10</v>
      </c>
      <c r="Q742" s="2" t="s">
        <v>551</v>
      </c>
      <c r="R742" s="1">
        <v>0</v>
      </c>
      <c r="S742" s="1">
        <v>9</v>
      </c>
    </row>
    <row r="743" spans="1:19" x14ac:dyDescent="0.25">
      <c r="A743" s="12">
        <v>39877</v>
      </c>
      <c r="B743" s="14" t="s">
        <v>758</v>
      </c>
      <c r="C743" s="14"/>
      <c r="D743" s="14"/>
      <c r="E743" s="1">
        <v>37</v>
      </c>
      <c r="F743" s="1">
        <f t="shared" si="15"/>
        <v>34</v>
      </c>
      <c r="G743" s="1">
        <v>36</v>
      </c>
      <c r="H743" s="1">
        <f t="shared" si="18"/>
        <v>47</v>
      </c>
      <c r="I743" s="1">
        <v>63</v>
      </c>
      <c r="J743" s="1">
        <f t="shared" si="13"/>
        <v>57.25</v>
      </c>
      <c r="M743" s="1">
        <v>5</v>
      </c>
      <c r="P743" s="1">
        <v>4</v>
      </c>
      <c r="Q743" s="2" t="s">
        <v>551</v>
      </c>
      <c r="R743" s="1">
        <v>2</v>
      </c>
      <c r="S743" s="1">
        <v>10</v>
      </c>
    </row>
    <row r="744" spans="1:19" x14ac:dyDescent="0.25">
      <c r="A744" s="12">
        <v>39884</v>
      </c>
      <c r="B744" s="14" t="s">
        <v>759</v>
      </c>
      <c r="C744" s="14"/>
      <c r="D744" s="14"/>
      <c r="E744" s="1">
        <v>39</v>
      </c>
      <c r="F744" s="1">
        <f t="shared" si="15"/>
        <v>34.5</v>
      </c>
      <c r="G744" s="1">
        <v>41</v>
      </c>
      <c r="H744" s="1">
        <f t="shared" si="18"/>
        <v>44.5</v>
      </c>
      <c r="I744" s="1">
        <v>55</v>
      </c>
      <c r="J744" s="1">
        <f t="shared" si="13"/>
        <v>57.75</v>
      </c>
      <c r="M744" s="1">
        <v>6</v>
      </c>
      <c r="P744" s="1">
        <v>12</v>
      </c>
      <c r="Q744" s="2" t="s">
        <v>551</v>
      </c>
      <c r="R744" s="1">
        <v>4</v>
      </c>
      <c r="S744" s="1">
        <v>11</v>
      </c>
    </row>
    <row r="745" spans="1:19" x14ac:dyDescent="0.25">
      <c r="A745" s="12">
        <v>39891</v>
      </c>
      <c r="B745" s="14" t="s">
        <v>760</v>
      </c>
      <c r="C745" s="14"/>
      <c r="D745" s="14"/>
      <c r="E745" s="1">
        <v>45</v>
      </c>
      <c r="F745" s="1">
        <f t="shared" si="15"/>
        <v>25.25</v>
      </c>
      <c r="G745" s="1">
        <v>33</v>
      </c>
      <c r="H745" s="1">
        <f t="shared" si="18"/>
        <v>45.5</v>
      </c>
      <c r="I745" s="1">
        <v>44</v>
      </c>
      <c r="J745" s="1">
        <f t="shared" si="13"/>
        <v>50.75</v>
      </c>
      <c r="M745" s="1">
        <v>11</v>
      </c>
      <c r="P745" s="1">
        <v>8</v>
      </c>
      <c r="Q745" s="2">
        <v>8</v>
      </c>
      <c r="R745" s="1">
        <v>5</v>
      </c>
      <c r="S745" s="1">
        <v>12</v>
      </c>
    </row>
    <row r="746" spans="1:19" x14ac:dyDescent="0.25">
      <c r="A746" s="12">
        <v>39898</v>
      </c>
      <c r="B746" s="14" t="s">
        <v>761</v>
      </c>
      <c r="C746" s="14"/>
      <c r="D746" s="14"/>
      <c r="E746" s="1">
        <v>27</v>
      </c>
      <c r="F746" s="1">
        <f t="shared" si="15"/>
        <v>22</v>
      </c>
      <c r="G746" s="1">
        <v>37</v>
      </c>
      <c r="H746" s="1">
        <f t="shared" si="18"/>
        <v>39</v>
      </c>
      <c r="I746" s="1">
        <v>48</v>
      </c>
      <c r="J746" s="1">
        <f t="shared" si="13"/>
        <v>49.5</v>
      </c>
      <c r="M746" s="1">
        <v>14</v>
      </c>
      <c r="P746" s="1">
        <v>10</v>
      </c>
      <c r="Q746" s="2">
        <v>11</v>
      </c>
      <c r="R746" s="1">
        <v>2</v>
      </c>
      <c r="S746" s="1">
        <v>13</v>
      </c>
    </row>
    <row r="747" spans="1:19" x14ac:dyDescent="0.25">
      <c r="A747" s="12">
        <v>39905</v>
      </c>
      <c r="B747" s="14" t="s">
        <v>762</v>
      </c>
      <c r="C747" s="14"/>
      <c r="D747" s="14"/>
      <c r="E747" s="1">
        <v>25</v>
      </c>
      <c r="F747" s="1">
        <f t="shared" si="15"/>
        <v>21.75</v>
      </c>
      <c r="G747" s="1">
        <v>40</v>
      </c>
      <c r="H747" s="1">
        <f t="shared" ref="H747:H778" si="19">AVERAGE(G695,G643,G591,G539)</f>
        <v>33.75</v>
      </c>
      <c r="I747" s="1">
        <v>41</v>
      </c>
      <c r="J747" s="1">
        <f t="shared" si="13"/>
        <v>50</v>
      </c>
      <c r="M747" s="1">
        <v>10</v>
      </c>
      <c r="P747" s="1">
        <v>12</v>
      </c>
      <c r="Q747" s="2" t="s">
        <v>551</v>
      </c>
      <c r="R747" s="1">
        <v>2</v>
      </c>
      <c r="S747" s="1">
        <v>14</v>
      </c>
    </row>
    <row r="748" spans="1:19" x14ac:dyDescent="0.25">
      <c r="A748" s="12">
        <v>39912</v>
      </c>
      <c r="B748" s="14" t="s">
        <v>763</v>
      </c>
      <c r="C748" s="14"/>
      <c r="D748" s="14"/>
      <c r="E748" s="1">
        <v>24</v>
      </c>
      <c r="F748" s="1">
        <f t="shared" si="15"/>
        <v>22.25</v>
      </c>
      <c r="G748" s="1">
        <v>36</v>
      </c>
      <c r="H748" s="1">
        <f t="shared" si="19"/>
        <v>34.25</v>
      </c>
      <c r="I748" s="1">
        <v>48</v>
      </c>
      <c r="J748" s="1">
        <f t="shared" si="13"/>
        <v>48.75</v>
      </c>
      <c r="M748" s="1">
        <v>10</v>
      </c>
      <c r="P748" s="1">
        <v>12</v>
      </c>
      <c r="Q748" s="2" t="s">
        <v>551</v>
      </c>
      <c r="R748" s="1">
        <v>1</v>
      </c>
      <c r="S748" s="1">
        <v>15</v>
      </c>
    </row>
    <row r="749" spans="1:19" x14ac:dyDescent="0.25">
      <c r="A749" s="12">
        <v>39919</v>
      </c>
      <c r="B749" s="14" t="s">
        <v>764</v>
      </c>
      <c r="C749" s="14"/>
      <c r="D749" s="14"/>
      <c r="E749" s="1">
        <v>27</v>
      </c>
      <c r="F749" s="1">
        <f t="shared" si="15"/>
        <v>24.75</v>
      </c>
      <c r="G749" s="1">
        <v>31</v>
      </c>
      <c r="H749" s="1">
        <f t="shared" si="19"/>
        <v>37</v>
      </c>
      <c r="I749" s="1">
        <v>38</v>
      </c>
      <c r="J749" s="1">
        <f t="shared" si="13"/>
        <v>46.75</v>
      </c>
      <c r="M749" s="1">
        <v>9</v>
      </c>
      <c r="P749" s="1">
        <v>9</v>
      </c>
      <c r="Q749" s="2">
        <v>8</v>
      </c>
      <c r="R749" s="1">
        <v>0</v>
      </c>
      <c r="S749" s="1">
        <v>16</v>
      </c>
    </row>
    <row r="750" spans="1:19" x14ac:dyDescent="0.25">
      <c r="A750" s="12">
        <v>39926</v>
      </c>
      <c r="B750" s="14" t="s">
        <v>765</v>
      </c>
      <c r="C750" s="14"/>
      <c r="D750" s="14"/>
      <c r="E750" s="1">
        <v>27</v>
      </c>
      <c r="F750" s="1">
        <f t="shared" si="15"/>
        <v>26.25</v>
      </c>
      <c r="G750" s="1">
        <v>32</v>
      </c>
      <c r="H750" s="1">
        <f t="shared" si="19"/>
        <v>38.25</v>
      </c>
      <c r="I750" s="1">
        <v>37</v>
      </c>
      <c r="J750" s="1">
        <f t="shared" si="13"/>
        <v>48</v>
      </c>
      <c r="M750" s="1">
        <v>10</v>
      </c>
      <c r="P750" s="1">
        <v>9</v>
      </c>
      <c r="Q750" s="2">
        <v>3</v>
      </c>
      <c r="R750" s="1">
        <v>5</v>
      </c>
      <c r="S750" s="1">
        <v>17</v>
      </c>
    </row>
    <row r="751" spans="1:19" x14ac:dyDescent="0.25">
      <c r="A751" s="12">
        <v>39933</v>
      </c>
      <c r="B751" s="14" t="s">
        <v>766</v>
      </c>
      <c r="C751" s="14"/>
      <c r="D751" s="14"/>
      <c r="E751" s="1">
        <v>23</v>
      </c>
      <c r="F751" s="1">
        <f t="shared" si="15"/>
        <v>20</v>
      </c>
      <c r="G751" s="1">
        <v>27</v>
      </c>
      <c r="H751" s="1">
        <f t="shared" si="19"/>
        <v>37</v>
      </c>
      <c r="I751" s="1">
        <v>47</v>
      </c>
      <c r="J751" s="1">
        <f t="shared" si="13"/>
        <v>52.75</v>
      </c>
      <c r="M751" s="1">
        <v>15</v>
      </c>
      <c r="P751" s="1">
        <v>7</v>
      </c>
      <c r="Q751" s="2">
        <v>12</v>
      </c>
      <c r="R751" s="1">
        <v>2</v>
      </c>
      <c r="S751" s="1">
        <v>18</v>
      </c>
    </row>
    <row r="752" spans="1:19" x14ac:dyDescent="0.25">
      <c r="A752" s="12">
        <v>39940</v>
      </c>
      <c r="B752" s="14" t="s">
        <v>767</v>
      </c>
      <c r="C752" s="14"/>
      <c r="D752" s="14"/>
      <c r="E752" s="1">
        <v>28</v>
      </c>
      <c r="F752" s="1">
        <f t="shared" si="15"/>
        <v>19.25</v>
      </c>
      <c r="G752" s="1">
        <v>30</v>
      </c>
      <c r="H752" s="1">
        <f t="shared" si="19"/>
        <v>32.75</v>
      </c>
      <c r="I752" s="1">
        <v>46</v>
      </c>
      <c r="J752" s="1">
        <f t="shared" si="13"/>
        <v>47</v>
      </c>
      <c r="M752" s="1">
        <v>13</v>
      </c>
      <c r="P752" s="2" t="s">
        <v>551</v>
      </c>
      <c r="Q752" s="2" t="s">
        <v>551</v>
      </c>
      <c r="R752" s="2" t="s">
        <v>551</v>
      </c>
      <c r="S752" s="1">
        <v>19</v>
      </c>
    </row>
    <row r="753" spans="1:19" x14ac:dyDescent="0.25">
      <c r="A753" s="12">
        <v>39947</v>
      </c>
      <c r="B753" s="14" t="s">
        <v>768</v>
      </c>
      <c r="C753" s="14"/>
      <c r="D753" s="14"/>
      <c r="E753" s="1">
        <v>24</v>
      </c>
      <c r="F753" s="1">
        <f t="shared" si="15"/>
        <v>18.75</v>
      </c>
      <c r="G753" s="1">
        <v>36</v>
      </c>
      <c r="H753" s="1">
        <f t="shared" si="19"/>
        <v>34</v>
      </c>
      <c r="I753" s="1">
        <v>50</v>
      </c>
      <c r="J753" s="1">
        <f t="shared" si="13"/>
        <v>52.5</v>
      </c>
      <c r="M753" s="1">
        <v>9</v>
      </c>
      <c r="P753" s="1">
        <v>10</v>
      </c>
      <c r="Q753" s="2" t="s">
        <v>551</v>
      </c>
      <c r="R753" s="1">
        <v>3</v>
      </c>
      <c r="S753" s="1">
        <v>20</v>
      </c>
    </row>
    <row r="754" spans="1:19" x14ac:dyDescent="0.25">
      <c r="A754" s="12">
        <v>39954</v>
      </c>
      <c r="B754" s="14" t="s">
        <v>769</v>
      </c>
      <c r="C754" s="14"/>
      <c r="D754" s="14"/>
      <c r="E754" s="1">
        <v>27</v>
      </c>
      <c r="F754" s="1">
        <f t="shared" si="15"/>
        <v>17.25</v>
      </c>
      <c r="G754" s="1">
        <v>37</v>
      </c>
      <c r="H754" s="1">
        <f t="shared" si="19"/>
        <v>39</v>
      </c>
      <c r="I754" s="1">
        <v>39</v>
      </c>
      <c r="J754" s="1">
        <f t="shared" si="13"/>
        <v>48.5</v>
      </c>
      <c r="M754" s="1">
        <v>4</v>
      </c>
      <c r="P754" s="1">
        <v>10</v>
      </c>
      <c r="Q754" s="2" t="s">
        <v>551</v>
      </c>
      <c r="R754" s="1">
        <v>1</v>
      </c>
      <c r="S754" s="1">
        <v>21</v>
      </c>
    </row>
    <row r="755" spans="1:19" x14ac:dyDescent="0.25">
      <c r="A755" s="12">
        <v>39961</v>
      </c>
      <c r="B755" s="14" t="s">
        <v>770</v>
      </c>
      <c r="C755" s="14"/>
      <c r="D755" s="14"/>
      <c r="E755" s="1">
        <v>31</v>
      </c>
      <c r="F755" s="1">
        <f t="shared" si="15"/>
        <v>22</v>
      </c>
      <c r="G755" s="1">
        <v>21</v>
      </c>
      <c r="H755" s="1">
        <f t="shared" si="19"/>
        <v>35</v>
      </c>
      <c r="I755" s="1">
        <v>44</v>
      </c>
      <c r="J755" s="1">
        <f t="shared" si="13"/>
        <v>48.25</v>
      </c>
      <c r="M755" s="1">
        <v>5</v>
      </c>
      <c r="P755" s="1">
        <v>8</v>
      </c>
      <c r="Q755" s="2" t="s">
        <v>551</v>
      </c>
      <c r="R755" s="1">
        <v>1</v>
      </c>
      <c r="S755" s="1">
        <v>22</v>
      </c>
    </row>
    <row r="756" spans="1:19" x14ac:dyDescent="0.25">
      <c r="A756" s="12">
        <v>39968</v>
      </c>
      <c r="B756" s="14" t="s">
        <v>771</v>
      </c>
      <c r="C756" s="14"/>
      <c r="D756" s="14"/>
      <c r="E756" s="1">
        <v>22</v>
      </c>
      <c r="F756" s="1">
        <f t="shared" si="15"/>
        <v>20</v>
      </c>
      <c r="G756" s="1">
        <v>36</v>
      </c>
      <c r="H756" s="1">
        <f t="shared" si="19"/>
        <v>33.25</v>
      </c>
      <c r="I756" s="1">
        <v>48</v>
      </c>
      <c r="J756" s="1">
        <f t="shared" si="13"/>
        <v>49</v>
      </c>
      <c r="M756" s="1">
        <v>3</v>
      </c>
      <c r="P756" s="1">
        <v>4</v>
      </c>
      <c r="Q756" s="2" t="s">
        <v>551</v>
      </c>
      <c r="R756" s="1">
        <v>3</v>
      </c>
      <c r="S756" s="1">
        <v>23</v>
      </c>
    </row>
    <row r="757" spans="1:19" x14ac:dyDescent="0.25">
      <c r="A757" s="12">
        <v>39975</v>
      </c>
      <c r="B757" s="14" t="s">
        <v>772</v>
      </c>
      <c r="C757" s="14"/>
      <c r="D757" s="14"/>
      <c r="E757" s="1">
        <v>28</v>
      </c>
      <c r="F757" s="1">
        <f t="shared" si="15"/>
        <v>16</v>
      </c>
      <c r="G757" s="1">
        <v>33</v>
      </c>
      <c r="H757" s="1">
        <f t="shared" si="19"/>
        <v>35.25</v>
      </c>
      <c r="I757" s="1">
        <v>40</v>
      </c>
      <c r="J757" s="1">
        <f t="shared" si="13"/>
        <v>53.25</v>
      </c>
      <c r="M757" s="1">
        <v>4</v>
      </c>
      <c r="P757" s="1">
        <v>8</v>
      </c>
      <c r="Q757" s="2" t="s">
        <v>551</v>
      </c>
      <c r="R757" s="1">
        <v>1</v>
      </c>
      <c r="S757" s="1">
        <v>24</v>
      </c>
    </row>
    <row r="758" spans="1:19" x14ac:dyDescent="0.25">
      <c r="A758" s="12">
        <v>39982</v>
      </c>
      <c r="B758" s="14" t="s">
        <v>773</v>
      </c>
      <c r="C758" s="14"/>
      <c r="D758" s="14"/>
      <c r="E758" s="1">
        <v>18</v>
      </c>
      <c r="F758" s="1">
        <f t="shared" si="15"/>
        <v>20.5</v>
      </c>
      <c r="G758" s="1">
        <v>39</v>
      </c>
      <c r="H758" s="1">
        <f t="shared" si="19"/>
        <v>37</v>
      </c>
      <c r="I758" s="1">
        <v>48</v>
      </c>
      <c r="J758" s="1">
        <f t="shared" si="13"/>
        <v>51.75</v>
      </c>
      <c r="M758" s="1">
        <v>5</v>
      </c>
      <c r="P758" s="1">
        <v>6</v>
      </c>
      <c r="Q758" s="2">
        <v>7</v>
      </c>
      <c r="R758" s="1">
        <v>3</v>
      </c>
      <c r="S758" s="1">
        <v>25</v>
      </c>
    </row>
    <row r="759" spans="1:19" x14ac:dyDescent="0.25">
      <c r="A759" s="12">
        <v>39989</v>
      </c>
      <c r="B759" s="14" t="s">
        <v>774</v>
      </c>
      <c r="C759" s="14"/>
      <c r="D759" s="14"/>
      <c r="E759" s="1">
        <v>21</v>
      </c>
      <c r="F759" s="1">
        <f t="shared" si="15"/>
        <v>21.5</v>
      </c>
      <c r="G759" s="1">
        <v>31</v>
      </c>
      <c r="H759" s="1">
        <f t="shared" si="19"/>
        <v>33.5</v>
      </c>
      <c r="I759" s="1">
        <v>56</v>
      </c>
      <c r="J759" s="1">
        <f t="shared" si="13"/>
        <v>52.25</v>
      </c>
      <c r="M759" s="1">
        <v>10</v>
      </c>
      <c r="P759" s="1">
        <v>8</v>
      </c>
      <c r="Q759" s="2">
        <v>7</v>
      </c>
      <c r="R759" s="1">
        <v>2</v>
      </c>
      <c r="S759" s="1">
        <v>26</v>
      </c>
    </row>
    <row r="760" spans="1:19" x14ac:dyDescent="0.25">
      <c r="A760" s="12">
        <v>39996</v>
      </c>
      <c r="B760" s="14" t="s">
        <v>775</v>
      </c>
      <c r="C760" s="14"/>
      <c r="D760" s="14"/>
      <c r="E760" s="1">
        <v>23</v>
      </c>
      <c r="F760" s="1">
        <f t="shared" si="15"/>
        <v>23</v>
      </c>
      <c r="G760" s="1">
        <v>37</v>
      </c>
      <c r="H760" s="1">
        <f t="shared" si="19"/>
        <v>33.5</v>
      </c>
      <c r="I760" s="1">
        <v>49</v>
      </c>
      <c r="J760" s="1">
        <f t="shared" si="13"/>
        <v>56.5</v>
      </c>
      <c r="M760" s="1">
        <v>6</v>
      </c>
      <c r="P760" s="2" t="s">
        <v>551</v>
      </c>
      <c r="Q760" s="2" t="s">
        <v>551</v>
      </c>
      <c r="R760" s="2" t="s">
        <v>551</v>
      </c>
      <c r="S760" s="1">
        <v>27</v>
      </c>
    </row>
    <row r="761" spans="1:19" x14ac:dyDescent="0.25">
      <c r="A761" s="12">
        <v>40003</v>
      </c>
      <c r="B761" s="14" t="s">
        <v>776</v>
      </c>
      <c r="C761" s="14"/>
      <c r="D761" s="14"/>
      <c r="E761" s="1">
        <v>26</v>
      </c>
      <c r="F761" s="1">
        <f t="shared" si="15"/>
        <v>27.5</v>
      </c>
      <c r="G761" s="1">
        <v>36</v>
      </c>
      <c r="H761" s="1">
        <f t="shared" si="19"/>
        <v>36.75</v>
      </c>
      <c r="I761" s="1">
        <v>50</v>
      </c>
      <c r="J761" s="1">
        <f t="shared" si="13"/>
        <v>56.5</v>
      </c>
      <c r="M761" s="1">
        <v>7</v>
      </c>
      <c r="P761" s="1">
        <v>6</v>
      </c>
      <c r="Q761" s="2" t="s">
        <v>551</v>
      </c>
      <c r="R761" s="1">
        <v>1</v>
      </c>
      <c r="S761" s="1">
        <v>28</v>
      </c>
    </row>
    <row r="762" spans="1:19" x14ac:dyDescent="0.25">
      <c r="A762" s="12">
        <v>40010</v>
      </c>
      <c r="B762" s="14" t="s">
        <v>777</v>
      </c>
      <c r="C762" s="14"/>
      <c r="D762" s="14"/>
      <c r="E762" s="1">
        <v>29</v>
      </c>
      <c r="F762" s="1">
        <f t="shared" si="15"/>
        <v>24.75</v>
      </c>
      <c r="G762" s="1">
        <v>36</v>
      </c>
      <c r="H762" s="1">
        <f t="shared" si="19"/>
        <v>40.25</v>
      </c>
      <c r="I762" s="1">
        <v>47</v>
      </c>
      <c r="J762" s="1">
        <f t="shared" si="13"/>
        <v>57.5</v>
      </c>
      <c r="M762" s="1">
        <v>5</v>
      </c>
      <c r="P762" s="1">
        <v>7</v>
      </c>
      <c r="Q762" s="2" t="s">
        <v>551</v>
      </c>
      <c r="R762" s="1">
        <v>2</v>
      </c>
      <c r="S762" s="1">
        <v>29</v>
      </c>
    </row>
    <row r="763" spans="1:19" x14ac:dyDescent="0.25">
      <c r="A763" s="12">
        <v>40017</v>
      </c>
      <c r="B763" s="14" t="s">
        <v>778</v>
      </c>
      <c r="C763" s="14"/>
      <c r="D763" s="14"/>
      <c r="E763" s="1">
        <v>31</v>
      </c>
      <c r="F763" s="1">
        <f t="shared" ref="F763:F786" si="20">AVERAGE(E711,E659,E607,E555)</f>
        <v>26</v>
      </c>
      <c r="G763" s="1">
        <v>44</v>
      </c>
      <c r="H763" s="1">
        <f t="shared" si="19"/>
        <v>43.75</v>
      </c>
      <c r="I763" s="1">
        <v>40</v>
      </c>
      <c r="J763" s="1">
        <f t="shared" si="13"/>
        <v>59.75</v>
      </c>
      <c r="M763" s="1">
        <v>9</v>
      </c>
      <c r="P763" s="1">
        <v>3</v>
      </c>
      <c r="Q763" s="2" t="s">
        <v>551</v>
      </c>
      <c r="R763" s="1">
        <v>3</v>
      </c>
      <c r="S763" s="1">
        <v>30</v>
      </c>
    </row>
    <row r="764" spans="1:19" x14ac:dyDescent="0.25">
      <c r="A764" s="12">
        <v>40024</v>
      </c>
      <c r="B764" s="14" t="s">
        <v>779</v>
      </c>
      <c r="C764" s="14"/>
      <c r="D764" s="14"/>
      <c r="E764" s="1">
        <v>24</v>
      </c>
      <c r="F764" s="1">
        <f t="shared" si="20"/>
        <v>28.25</v>
      </c>
      <c r="G764" s="1">
        <v>44</v>
      </c>
      <c r="H764" s="1">
        <f t="shared" si="19"/>
        <v>42.75</v>
      </c>
      <c r="I764" s="1">
        <v>49</v>
      </c>
      <c r="J764" s="1">
        <f t="shared" si="13"/>
        <v>59.25</v>
      </c>
      <c r="M764" s="1">
        <v>11</v>
      </c>
      <c r="P764" s="2" t="s">
        <v>551</v>
      </c>
      <c r="Q764" s="2" t="s">
        <v>551</v>
      </c>
      <c r="R764" s="2" t="s">
        <v>551</v>
      </c>
      <c r="S764" s="1">
        <v>31</v>
      </c>
    </row>
    <row r="765" spans="1:19" x14ac:dyDescent="0.25">
      <c r="A765" s="12">
        <v>40031</v>
      </c>
      <c r="B765" s="14" t="s">
        <v>780</v>
      </c>
      <c r="C765" s="14"/>
      <c r="D765" s="14"/>
      <c r="E765" s="1">
        <v>18</v>
      </c>
      <c r="F765" s="1">
        <f t="shared" si="20"/>
        <v>30.5</v>
      </c>
      <c r="G765" s="1">
        <v>37</v>
      </c>
      <c r="H765" s="1">
        <f t="shared" si="19"/>
        <v>40.75</v>
      </c>
      <c r="I765" s="1">
        <v>49</v>
      </c>
      <c r="J765" s="1">
        <f t="shared" si="13"/>
        <v>60</v>
      </c>
      <c r="M765" s="1">
        <v>12</v>
      </c>
      <c r="P765" s="1">
        <v>12</v>
      </c>
      <c r="Q765" s="2">
        <v>6</v>
      </c>
      <c r="R765" s="1">
        <v>0</v>
      </c>
      <c r="S765" s="1">
        <v>32</v>
      </c>
    </row>
    <row r="766" spans="1:19" x14ac:dyDescent="0.25">
      <c r="A766" s="12">
        <v>40038</v>
      </c>
      <c r="B766" s="14" t="s">
        <v>781</v>
      </c>
      <c r="C766" s="14"/>
      <c r="D766" s="14"/>
      <c r="E766" s="1">
        <v>29</v>
      </c>
      <c r="F766" s="1">
        <f t="shared" si="20"/>
        <v>30</v>
      </c>
      <c r="G766" s="1">
        <v>34</v>
      </c>
      <c r="H766" s="1">
        <f t="shared" si="19"/>
        <v>46</v>
      </c>
      <c r="I766" s="1">
        <v>54</v>
      </c>
      <c r="J766" s="1">
        <f t="shared" si="13"/>
        <v>58.25</v>
      </c>
      <c r="M766" s="1">
        <v>13</v>
      </c>
      <c r="P766" s="1">
        <v>11</v>
      </c>
      <c r="Q766" s="2">
        <v>4</v>
      </c>
      <c r="R766" s="1">
        <v>2</v>
      </c>
      <c r="S766" s="1">
        <v>33</v>
      </c>
    </row>
    <row r="767" spans="1:19" x14ac:dyDescent="0.25">
      <c r="A767" s="12">
        <v>40045</v>
      </c>
      <c r="B767" s="14" t="s">
        <v>782</v>
      </c>
      <c r="C767" s="14"/>
      <c r="D767" s="14"/>
      <c r="E767" s="1">
        <v>27</v>
      </c>
      <c r="F767" s="1">
        <f t="shared" si="20"/>
        <v>30.5</v>
      </c>
      <c r="G767" s="1">
        <v>36</v>
      </c>
      <c r="H767" s="1">
        <f t="shared" si="19"/>
        <v>43.75</v>
      </c>
      <c r="I767" s="1">
        <v>47</v>
      </c>
      <c r="J767" s="1">
        <f t="shared" si="13"/>
        <v>58.25</v>
      </c>
      <c r="M767" s="1">
        <v>15</v>
      </c>
      <c r="P767" s="1">
        <v>10</v>
      </c>
      <c r="Q767" s="2">
        <v>9</v>
      </c>
      <c r="R767" s="1">
        <v>2</v>
      </c>
      <c r="S767" s="1">
        <v>34</v>
      </c>
    </row>
    <row r="768" spans="1:19" x14ac:dyDescent="0.25">
      <c r="A768" s="12">
        <v>40052</v>
      </c>
      <c r="B768" s="14" t="s">
        <v>783</v>
      </c>
      <c r="C768" s="14"/>
      <c r="D768" s="14"/>
      <c r="E768" s="1">
        <v>26</v>
      </c>
      <c r="F768" s="1">
        <f t="shared" si="20"/>
        <v>28.75</v>
      </c>
      <c r="G768" s="1">
        <v>48</v>
      </c>
      <c r="H768" s="1">
        <f t="shared" si="19"/>
        <v>36.5</v>
      </c>
      <c r="I768" s="1">
        <v>55</v>
      </c>
      <c r="J768" s="1">
        <f t="shared" ref="J768:J786" si="21">AVERAGE(I716,I664,I612,I560)</f>
        <v>51.25</v>
      </c>
      <c r="M768" s="1">
        <v>10</v>
      </c>
      <c r="P768" s="1">
        <v>6</v>
      </c>
      <c r="Q768" s="2">
        <v>8</v>
      </c>
      <c r="R768" s="1">
        <v>3</v>
      </c>
      <c r="S768" s="1">
        <v>35</v>
      </c>
    </row>
    <row r="769" spans="1:19" x14ac:dyDescent="0.25">
      <c r="A769" s="12">
        <v>40059</v>
      </c>
      <c r="B769" s="14" t="s">
        <v>784</v>
      </c>
      <c r="C769" s="14"/>
      <c r="D769" s="14"/>
      <c r="E769" s="1">
        <v>28</v>
      </c>
      <c r="F769" s="1">
        <f t="shared" si="20"/>
        <v>32.75</v>
      </c>
      <c r="G769" s="1">
        <v>37</v>
      </c>
      <c r="H769" s="1">
        <f t="shared" si="19"/>
        <v>32.25</v>
      </c>
      <c r="I769" s="1">
        <v>53</v>
      </c>
      <c r="J769" s="1">
        <f t="shared" si="21"/>
        <v>53</v>
      </c>
      <c r="M769" s="1">
        <v>16</v>
      </c>
      <c r="P769" s="1">
        <v>8</v>
      </c>
      <c r="Q769" s="2">
        <v>6</v>
      </c>
      <c r="R769" s="1">
        <v>1</v>
      </c>
      <c r="S769" s="1">
        <v>36</v>
      </c>
    </row>
    <row r="770" spans="1:19" x14ac:dyDescent="0.25">
      <c r="A770" s="12">
        <v>40066</v>
      </c>
      <c r="B770" s="14" t="s">
        <v>785</v>
      </c>
      <c r="C770" s="14"/>
      <c r="D770" s="14"/>
      <c r="E770" s="1">
        <v>29</v>
      </c>
      <c r="F770" s="1">
        <f t="shared" si="20"/>
        <v>38.25</v>
      </c>
      <c r="G770" s="1">
        <v>37</v>
      </c>
      <c r="H770" s="1">
        <f t="shared" si="19"/>
        <v>40.5</v>
      </c>
      <c r="I770" s="1">
        <v>44</v>
      </c>
      <c r="J770" s="1">
        <f t="shared" si="21"/>
        <v>58.75</v>
      </c>
      <c r="M770" s="1">
        <v>16</v>
      </c>
      <c r="P770" s="1">
        <v>12</v>
      </c>
      <c r="Q770" s="1">
        <v>3</v>
      </c>
      <c r="R770" s="1">
        <v>1</v>
      </c>
      <c r="S770" s="1">
        <v>37</v>
      </c>
    </row>
    <row r="771" spans="1:19" x14ac:dyDescent="0.25">
      <c r="A771" s="12">
        <v>40073</v>
      </c>
      <c r="B771" s="14" t="s">
        <v>786</v>
      </c>
      <c r="C771" s="14"/>
      <c r="D771" s="14"/>
      <c r="E771" s="1">
        <v>22</v>
      </c>
      <c r="F771" s="1">
        <f t="shared" si="20"/>
        <v>32.5</v>
      </c>
      <c r="G771" s="1">
        <v>38</v>
      </c>
      <c r="H771" s="1">
        <f t="shared" si="19"/>
        <v>41.75</v>
      </c>
      <c r="I771" s="1">
        <v>51</v>
      </c>
      <c r="J771" s="1">
        <f t="shared" si="21"/>
        <v>58</v>
      </c>
      <c r="M771" s="1">
        <v>13</v>
      </c>
      <c r="P771" s="1">
        <v>10</v>
      </c>
      <c r="Q771" s="1">
        <v>6</v>
      </c>
      <c r="R771" s="1">
        <v>1</v>
      </c>
      <c r="S771" s="1">
        <v>38</v>
      </c>
    </row>
    <row r="772" spans="1:19" x14ac:dyDescent="0.25">
      <c r="A772" s="12">
        <v>40080</v>
      </c>
      <c r="B772" s="14" t="s">
        <v>787</v>
      </c>
      <c r="C772" s="14"/>
      <c r="D772" s="14"/>
      <c r="E772" s="1">
        <v>29</v>
      </c>
      <c r="F772" s="1">
        <f t="shared" si="20"/>
        <v>29.75</v>
      </c>
      <c r="G772" s="1">
        <v>36</v>
      </c>
      <c r="H772" s="1">
        <f t="shared" si="19"/>
        <v>41.75</v>
      </c>
      <c r="I772" s="1">
        <v>59</v>
      </c>
      <c r="J772" s="1">
        <f t="shared" si="21"/>
        <v>63</v>
      </c>
      <c r="M772" s="1">
        <v>14</v>
      </c>
      <c r="P772" s="1">
        <v>9</v>
      </c>
      <c r="Q772" s="1">
        <v>12</v>
      </c>
      <c r="R772" s="1">
        <v>0</v>
      </c>
      <c r="S772" s="1">
        <v>39</v>
      </c>
    </row>
    <row r="773" spans="1:19" x14ac:dyDescent="0.25">
      <c r="A773" s="12">
        <v>40087</v>
      </c>
      <c r="B773" s="14" t="s">
        <v>788</v>
      </c>
      <c r="C773" s="14"/>
      <c r="D773" s="14"/>
      <c r="E773" s="1">
        <v>37</v>
      </c>
      <c r="F773" s="1">
        <f t="shared" si="20"/>
        <v>42</v>
      </c>
      <c r="G773" s="1">
        <v>39</v>
      </c>
      <c r="H773" s="1">
        <f t="shared" si="19"/>
        <v>43.25</v>
      </c>
      <c r="I773" s="1">
        <v>65</v>
      </c>
      <c r="J773" s="1">
        <f t="shared" si="21"/>
        <v>61.5</v>
      </c>
      <c r="M773" s="1">
        <v>11</v>
      </c>
      <c r="P773" s="2" t="s">
        <v>551</v>
      </c>
      <c r="Q773" s="2" t="s">
        <v>551</v>
      </c>
      <c r="R773" s="2" t="s">
        <v>551</v>
      </c>
      <c r="S773" s="1">
        <v>40</v>
      </c>
    </row>
    <row r="774" spans="1:19" x14ac:dyDescent="0.25">
      <c r="A774" s="12">
        <v>40094</v>
      </c>
      <c r="B774" s="14" t="s">
        <v>789</v>
      </c>
      <c r="C774" s="14"/>
      <c r="D774" s="14"/>
      <c r="E774" s="1">
        <v>42</v>
      </c>
      <c r="F774" s="1">
        <f t="shared" si="20"/>
        <v>35</v>
      </c>
      <c r="G774" s="1">
        <v>35</v>
      </c>
      <c r="H774" s="1">
        <f t="shared" si="19"/>
        <v>47.75</v>
      </c>
      <c r="I774" s="1">
        <v>74</v>
      </c>
      <c r="J774" s="1">
        <f t="shared" si="21"/>
        <v>61</v>
      </c>
      <c r="M774" s="1">
        <v>15</v>
      </c>
      <c r="P774" s="1">
        <v>9</v>
      </c>
      <c r="Q774" s="2" t="s">
        <v>551</v>
      </c>
      <c r="R774" s="1">
        <v>1</v>
      </c>
      <c r="S774" s="1">
        <v>41</v>
      </c>
    </row>
    <row r="775" spans="1:19" x14ac:dyDescent="0.25">
      <c r="A775" s="12">
        <v>40101</v>
      </c>
      <c r="B775" s="14" t="s">
        <v>790</v>
      </c>
      <c r="C775" s="14"/>
      <c r="D775" s="14"/>
      <c r="E775" s="1">
        <v>50</v>
      </c>
      <c r="F775" s="1">
        <f t="shared" si="20"/>
        <v>32.75</v>
      </c>
      <c r="G775" s="1">
        <v>35</v>
      </c>
      <c r="H775" s="1">
        <f t="shared" si="19"/>
        <v>50.5</v>
      </c>
      <c r="I775" s="1">
        <v>62</v>
      </c>
      <c r="J775" s="1">
        <f t="shared" si="21"/>
        <v>66.75</v>
      </c>
      <c r="M775" s="1">
        <v>14</v>
      </c>
      <c r="P775" s="1">
        <v>11</v>
      </c>
      <c r="Q775" s="2" t="s">
        <v>551</v>
      </c>
      <c r="R775" s="1">
        <v>1</v>
      </c>
      <c r="S775" s="1">
        <v>42</v>
      </c>
    </row>
    <row r="776" spans="1:19" x14ac:dyDescent="0.25">
      <c r="A776" s="12">
        <v>40108</v>
      </c>
      <c r="B776" s="23" t="s">
        <v>791</v>
      </c>
      <c r="C776" s="23"/>
      <c r="D776" s="23"/>
      <c r="E776" s="1">
        <v>60</v>
      </c>
      <c r="F776" s="1">
        <f t="shared" si="20"/>
        <v>31.25</v>
      </c>
      <c r="G776" s="1">
        <v>40</v>
      </c>
      <c r="H776" s="1">
        <f t="shared" si="19"/>
        <v>44.25</v>
      </c>
      <c r="I776" s="1">
        <v>64</v>
      </c>
      <c r="J776" s="1">
        <f t="shared" si="21"/>
        <v>68</v>
      </c>
      <c r="M776" s="1">
        <v>13</v>
      </c>
      <c r="P776" s="2" t="s">
        <v>551</v>
      </c>
      <c r="Q776" s="1">
        <v>7</v>
      </c>
      <c r="R776" s="2" t="s">
        <v>551</v>
      </c>
      <c r="S776" s="1">
        <v>43</v>
      </c>
    </row>
    <row r="777" spans="1:19" x14ac:dyDescent="0.25">
      <c r="A777" s="12">
        <v>40115</v>
      </c>
      <c r="B777" s="14" t="s">
        <v>792</v>
      </c>
      <c r="C777" s="14"/>
      <c r="D777" s="14"/>
      <c r="E777" s="1">
        <v>62</v>
      </c>
      <c r="F777" s="1">
        <f t="shared" si="20"/>
        <v>36.25</v>
      </c>
      <c r="G777" s="1">
        <v>47</v>
      </c>
      <c r="H777" s="1">
        <f t="shared" si="19"/>
        <v>46.25</v>
      </c>
      <c r="I777" s="1">
        <v>86</v>
      </c>
      <c r="J777" s="1">
        <f t="shared" si="21"/>
        <v>65.25</v>
      </c>
      <c r="M777" s="1">
        <v>15</v>
      </c>
      <c r="P777" s="1">
        <v>11</v>
      </c>
      <c r="Q777" s="1">
        <v>5</v>
      </c>
      <c r="R777" s="1">
        <v>2</v>
      </c>
      <c r="S777" s="1">
        <v>44</v>
      </c>
    </row>
    <row r="778" spans="1:19" x14ac:dyDescent="0.25">
      <c r="A778" s="12">
        <v>40122</v>
      </c>
      <c r="B778" s="14" t="s">
        <v>793</v>
      </c>
      <c r="C778" s="14"/>
      <c r="D778" s="14"/>
      <c r="E778" s="1">
        <v>67</v>
      </c>
      <c r="F778" s="1">
        <f t="shared" si="20"/>
        <v>36.25</v>
      </c>
      <c r="G778" s="1">
        <v>50</v>
      </c>
      <c r="H778" s="1">
        <f t="shared" si="19"/>
        <v>42</v>
      </c>
      <c r="I778" s="1">
        <v>77</v>
      </c>
      <c r="J778" s="1">
        <f t="shared" si="21"/>
        <v>61.5</v>
      </c>
      <c r="M778" s="1">
        <v>15</v>
      </c>
      <c r="P778" s="1">
        <v>12</v>
      </c>
      <c r="Q778" s="1">
        <v>10</v>
      </c>
      <c r="R778" s="1">
        <v>4</v>
      </c>
      <c r="S778" s="1">
        <v>45</v>
      </c>
    </row>
    <row r="779" spans="1:19" x14ac:dyDescent="0.25">
      <c r="A779" s="12">
        <v>40129</v>
      </c>
      <c r="B779" s="14" t="s">
        <v>794</v>
      </c>
      <c r="C779" s="14"/>
      <c r="D779" s="14"/>
      <c r="E779" s="1">
        <v>55</v>
      </c>
      <c r="F779" s="1">
        <f t="shared" si="20"/>
        <v>39</v>
      </c>
      <c r="G779" s="1">
        <v>51</v>
      </c>
      <c r="H779" s="1">
        <f t="shared" ref="H779:H786" si="22">AVERAGE(G727,G675,G623,G571)</f>
        <v>46.5</v>
      </c>
      <c r="I779" s="1">
        <v>81</v>
      </c>
      <c r="J779" s="1">
        <f t="shared" si="21"/>
        <v>63.25</v>
      </c>
      <c r="M779" s="1">
        <v>19</v>
      </c>
      <c r="P779" s="1">
        <v>19</v>
      </c>
      <c r="Q779" s="1">
        <v>7</v>
      </c>
      <c r="R779" s="1">
        <v>3</v>
      </c>
      <c r="S779" s="1">
        <v>46</v>
      </c>
    </row>
    <row r="780" spans="1:19" x14ac:dyDescent="0.25">
      <c r="A780" s="12">
        <v>40136</v>
      </c>
      <c r="B780" s="14" t="s">
        <v>795</v>
      </c>
      <c r="C780" s="14"/>
      <c r="D780" s="14"/>
      <c r="E780" s="1">
        <v>57</v>
      </c>
      <c r="F780" s="1">
        <f t="shared" si="20"/>
        <v>38.5</v>
      </c>
      <c r="G780" s="1">
        <v>56</v>
      </c>
      <c r="H780" s="1">
        <f t="shared" si="22"/>
        <v>46.25</v>
      </c>
      <c r="I780" s="1">
        <v>74</v>
      </c>
      <c r="J780" s="1">
        <f t="shared" si="21"/>
        <v>64</v>
      </c>
      <c r="M780" s="1">
        <v>19</v>
      </c>
      <c r="P780" s="1">
        <v>16</v>
      </c>
      <c r="Q780" s="1">
        <v>5</v>
      </c>
      <c r="R780" s="1">
        <v>0</v>
      </c>
      <c r="S780" s="1">
        <v>47</v>
      </c>
    </row>
    <row r="781" spans="1:19" x14ac:dyDescent="0.25">
      <c r="A781" s="12">
        <v>40143</v>
      </c>
      <c r="B781" s="14" t="s">
        <v>796</v>
      </c>
      <c r="C781" s="14"/>
      <c r="D781" s="14"/>
      <c r="E781" s="1">
        <v>72</v>
      </c>
      <c r="F781" s="1">
        <f t="shared" si="20"/>
        <v>33.25</v>
      </c>
      <c r="G781" s="1">
        <v>57</v>
      </c>
      <c r="H781" s="1">
        <f t="shared" si="22"/>
        <v>47.5</v>
      </c>
      <c r="I781" s="1">
        <v>65</v>
      </c>
      <c r="J781" s="1">
        <f t="shared" si="21"/>
        <v>61.75</v>
      </c>
      <c r="M781" s="1">
        <v>11</v>
      </c>
      <c r="P781" s="2" t="s">
        <v>551</v>
      </c>
      <c r="Q781" s="2" t="s">
        <v>551</v>
      </c>
      <c r="R781" s="2" t="s">
        <v>551</v>
      </c>
      <c r="S781" s="1">
        <v>48</v>
      </c>
    </row>
    <row r="782" spans="1:19" x14ac:dyDescent="0.25">
      <c r="A782" s="12">
        <v>40150</v>
      </c>
      <c r="B782" s="14" t="s">
        <v>797</v>
      </c>
      <c r="C782" s="14"/>
      <c r="D782" s="14"/>
      <c r="E782" s="1">
        <v>59</v>
      </c>
      <c r="F782" s="1">
        <f t="shared" si="20"/>
        <v>31.5</v>
      </c>
      <c r="G782" s="1">
        <v>51</v>
      </c>
      <c r="H782" s="1">
        <f t="shared" si="22"/>
        <v>48</v>
      </c>
      <c r="I782" s="1">
        <v>62</v>
      </c>
      <c r="J782" s="1">
        <f t="shared" si="21"/>
        <v>67.5</v>
      </c>
      <c r="M782" s="1">
        <v>10</v>
      </c>
      <c r="P782" s="1">
        <v>9</v>
      </c>
      <c r="Q782" s="2" t="s">
        <v>551</v>
      </c>
      <c r="R782" s="1">
        <v>4</v>
      </c>
      <c r="S782" s="1">
        <v>49</v>
      </c>
    </row>
    <row r="783" spans="1:19" x14ac:dyDescent="0.25">
      <c r="A783" s="12">
        <v>40157</v>
      </c>
      <c r="B783" s="14" t="s">
        <v>798</v>
      </c>
      <c r="C783" s="14"/>
      <c r="D783" s="14"/>
      <c r="E783" s="1">
        <v>59</v>
      </c>
      <c r="F783" s="1">
        <f t="shared" si="20"/>
        <v>33.25</v>
      </c>
      <c r="G783" s="1">
        <v>40</v>
      </c>
      <c r="H783" s="1">
        <f t="shared" si="22"/>
        <v>46.75</v>
      </c>
      <c r="I783" s="1">
        <v>67</v>
      </c>
      <c r="J783" s="1">
        <f t="shared" si="21"/>
        <v>58.75</v>
      </c>
      <c r="M783" s="1">
        <v>9</v>
      </c>
      <c r="P783" s="2" t="s">
        <v>551</v>
      </c>
      <c r="Q783" s="2" t="s">
        <v>551</v>
      </c>
      <c r="R783" s="2" t="s">
        <v>551</v>
      </c>
      <c r="S783" s="1">
        <v>50</v>
      </c>
    </row>
    <row r="784" spans="1:19" x14ac:dyDescent="0.25">
      <c r="A784" s="12">
        <v>40164</v>
      </c>
      <c r="B784" s="14" t="s">
        <v>799</v>
      </c>
      <c r="C784" s="14"/>
      <c r="D784" s="14"/>
      <c r="E784" s="1">
        <v>52</v>
      </c>
      <c r="F784" s="1">
        <f t="shared" si="20"/>
        <v>32.25</v>
      </c>
      <c r="G784" s="1">
        <v>40</v>
      </c>
      <c r="H784" s="1">
        <f t="shared" si="22"/>
        <v>40.5</v>
      </c>
      <c r="I784" s="1">
        <v>71</v>
      </c>
      <c r="J784" s="1">
        <f t="shared" si="21"/>
        <v>59</v>
      </c>
      <c r="M784" s="1">
        <v>17</v>
      </c>
      <c r="P784" s="1">
        <v>9</v>
      </c>
      <c r="Q784" s="2" t="s">
        <v>551</v>
      </c>
      <c r="R784" s="1">
        <v>1</v>
      </c>
      <c r="S784" s="1">
        <v>51</v>
      </c>
    </row>
    <row r="785" spans="1:19" x14ac:dyDescent="0.25">
      <c r="A785" s="12">
        <v>40171</v>
      </c>
      <c r="B785" s="14" t="s">
        <v>800</v>
      </c>
      <c r="C785" s="14"/>
      <c r="D785" s="14"/>
      <c r="E785" s="1">
        <v>40</v>
      </c>
      <c r="F785" s="1">
        <f t="shared" si="20"/>
        <v>37.25</v>
      </c>
      <c r="G785" s="1">
        <v>41</v>
      </c>
      <c r="H785" s="1">
        <f t="shared" si="22"/>
        <v>38</v>
      </c>
      <c r="I785" s="1">
        <v>58</v>
      </c>
      <c r="J785" s="1">
        <f t="shared" si="21"/>
        <v>69</v>
      </c>
      <c r="M785" s="1">
        <v>14</v>
      </c>
      <c r="P785" s="2" t="s">
        <v>551</v>
      </c>
      <c r="Q785" s="2" t="s">
        <v>551</v>
      </c>
      <c r="R785" s="2" t="s">
        <v>551</v>
      </c>
      <c r="S785" s="2">
        <v>52</v>
      </c>
    </row>
    <row r="786" spans="1:19" x14ac:dyDescent="0.25">
      <c r="A786" s="12">
        <v>40178</v>
      </c>
      <c r="B786" s="14" t="s">
        <v>801</v>
      </c>
      <c r="C786" s="14"/>
      <c r="D786" s="14"/>
      <c r="E786" s="1">
        <v>54</v>
      </c>
      <c r="F786" s="1">
        <f t="shared" si="20"/>
        <v>35.75</v>
      </c>
      <c r="G786" s="1">
        <v>48</v>
      </c>
      <c r="H786" s="1">
        <f t="shared" si="22"/>
        <v>41.75</v>
      </c>
      <c r="I786" s="1">
        <v>71</v>
      </c>
      <c r="J786" s="1">
        <f t="shared" si="21"/>
        <v>64</v>
      </c>
      <c r="M786" s="1">
        <v>15</v>
      </c>
      <c r="P786" s="2" t="s">
        <v>551</v>
      </c>
      <c r="Q786" s="2" t="s">
        <v>551</v>
      </c>
      <c r="R786" s="2" t="s">
        <v>551</v>
      </c>
      <c r="S786" s="1">
        <v>53</v>
      </c>
    </row>
    <row r="787" spans="1:19" x14ac:dyDescent="0.25">
      <c r="A787" s="12">
        <v>40185</v>
      </c>
      <c r="B787" s="14" t="s">
        <v>802</v>
      </c>
      <c r="C787" s="14"/>
      <c r="D787" s="14"/>
      <c r="E787" s="1">
        <v>54</v>
      </c>
      <c r="F787" s="1">
        <f t="shared" ref="F787:F850" si="23">AVERAGE(E735,E683,E631,E579)</f>
        <v>31.5</v>
      </c>
      <c r="G787" s="1">
        <v>46</v>
      </c>
      <c r="H787" s="1">
        <f t="shared" ref="H787:H850" si="24">AVERAGE(G735,G683,G631,G579)</f>
        <v>46</v>
      </c>
      <c r="I787" s="1">
        <v>66</v>
      </c>
      <c r="J787" s="1">
        <f t="shared" ref="J787:J850" si="25">AVERAGE(I735,I683,I631,I579)</f>
        <v>70.25</v>
      </c>
      <c r="M787" s="1">
        <v>14</v>
      </c>
      <c r="P787" s="1">
        <v>7</v>
      </c>
      <c r="Q787" s="2" t="s">
        <v>551</v>
      </c>
      <c r="R787" s="1">
        <v>0</v>
      </c>
      <c r="S787" s="1">
        <v>1</v>
      </c>
    </row>
    <row r="788" spans="1:19" x14ac:dyDescent="0.25">
      <c r="A788" s="12">
        <v>40192</v>
      </c>
      <c r="B788" s="14" t="s">
        <v>803</v>
      </c>
      <c r="C788" s="14"/>
      <c r="D788" s="14"/>
      <c r="E788" s="1">
        <v>50</v>
      </c>
      <c r="F788" s="1">
        <f t="shared" si="23"/>
        <v>34</v>
      </c>
      <c r="G788" s="1">
        <v>41</v>
      </c>
      <c r="H788" s="1">
        <f t="shared" si="24"/>
        <v>46.25</v>
      </c>
      <c r="I788" s="1">
        <v>72</v>
      </c>
      <c r="J788" s="1">
        <f t="shared" si="25"/>
        <v>67</v>
      </c>
      <c r="M788" s="1">
        <v>18</v>
      </c>
      <c r="P788" s="1">
        <v>12</v>
      </c>
      <c r="Q788" s="1">
        <v>1</v>
      </c>
      <c r="R788" s="1">
        <v>6</v>
      </c>
      <c r="S788" s="1">
        <v>2</v>
      </c>
    </row>
    <row r="789" spans="1:19" x14ac:dyDescent="0.25">
      <c r="A789" s="12">
        <v>40199</v>
      </c>
      <c r="B789" s="14" t="s">
        <v>804</v>
      </c>
      <c r="C789" s="14"/>
      <c r="D789" s="14"/>
      <c r="E789" s="1">
        <v>50</v>
      </c>
      <c r="F789" s="1">
        <f t="shared" si="23"/>
        <v>38.5</v>
      </c>
      <c r="G789" s="1">
        <v>47</v>
      </c>
      <c r="H789" s="1">
        <f t="shared" si="24"/>
        <v>47.75</v>
      </c>
      <c r="I789" s="1">
        <v>82</v>
      </c>
      <c r="J789" s="1">
        <f t="shared" si="25"/>
        <v>71.75</v>
      </c>
      <c r="M789" s="1">
        <v>19</v>
      </c>
      <c r="P789" s="1">
        <v>13</v>
      </c>
      <c r="Q789" s="1">
        <v>10</v>
      </c>
      <c r="R789" s="1">
        <v>2</v>
      </c>
      <c r="S789" s="1">
        <v>3</v>
      </c>
    </row>
    <row r="790" spans="1:19" x14ac:dyDescent="0.25">
      <c r="A790" s="12">
        <v>40206</v>
      </c>
      <c r="B790" s="14" t="s">
        <v>805</v>
      </c>
      <c r="C790" s="14"/>
      <c r="D790" s="14"/>
      <c r="E790" s="1">
        <v>50</v>
      </c>
      <c r="F790" s="1">
        <f t="shared" si="23"/>
        <v>44.25</v>
      </c>
      <c r="G790" s="1">
        <v>51</v>
      </c>
      <c r="H790" s="1">
        <f t="shared" si="24"/>
        <v>48.5</v>
      </c>
      <c r="I790" s="1">
        <v>79</v>
      </c>
      <c r="J790" s="1">
        <f t="shared" si="25"/>
        <v>71.5</v>
      </c>
      <c r="M790" s="1">
        <v>13</v>
      </c>
      <c r="P790" s="1">
        <v>12</v>
      </c>
      <c r="Q790" s="1">
        <v>9</v>
      </c>
      <c r="R790" s="1">
        <v>2</v>
      </c>
      <c r="S790" s="1">
        <v>4</v>
      </c>
    </row>
    <row r="791" spans="1:19" x14ac:dyDescent="0.25">
      <c r="A791" s="12">
        <v>40213</v>
      </c>
      <c r="B791" s="14" t="s">
        <v>806</v>
      </c>
      <c r="C791" s="14"/>
      <c r="D791" s="14"/>
      <c r="E791" s="1">
        <v>56</v>
      </c>
      <c r="F791" s="1">
        <f t="shared" si="23"/>
        <v>47.75</v>
      </c>
      <c r="G791" s="1">
        <v>47</v>
      </c>
      <c r="H791" s="1">
        <f t="shared" si="24"/>
        <v>48</v>
      </c>
      <c r="I791" s="1">
        <v>84</v>
      </c>
      <c r="J791" s="1">
        <f t="shared" si="25"/>
        <v>64.5</v>
      </c>
      <c r="M791" s="1">
        <v>18</v>
      </c>
      <c r="P791" s="1">
        <v>16</v>
      </c>
      <c r="Q791" s="1">
        <v>8</v>
      </c>
      <c r="R791" s="1">
        <v>4</v>
      </c>
      <c r="S791" s="1">
        <v>5</v>
      </c>
    </row>
    <row r="792" spans="1:19" x14ac:dyDescent="0.25">
      <c r="A792" s="12">
        <v>40220</v>
      </c>
      <c r="B792" s="14" t="s">
        <v>807</v>
      </c>
      <c r="C792" s="14"/>
      <c r="D792" s="14"/>
      <c r="E792" s="1">
        <v>69</v>
      </c>
      <c r="F792" s="1">
        <f t="shared" si="23"/>
        <v>39.5</v>
      </c>
      <c r="G792" s="1">
        <v>44</v>
      </c>
      <c r="H792" s="1">
        <f t="shared" si="24"/>
        <v>48.75</v>
      </c>
      <c r="I792" s="1">
        <v>60</v>
      </c>
      <c r="J792" s="1">
        <f t="shared" si="25"/>
        <v>69.5</v>
      </c>
      <c r="M792" s="1">
        <v>18</v>
      </c>
      <c r="P792" s="2" t="s">
        <v>551</v>
      </c>
      <c r="Q792" s="2" t="s">
        <v>551</v>
      </c>
      <c r="R792" s="2" t="s">
        <v>551</v>
      </c>
      <c r="S792" s="1">
        <v>6</v>
      </c>
    </row>
    <row r="793" spans="1:19" x14ac:dyDescent="0.25">
      <c r="A793" s="12">
        <v>40227</v>
      </c>
      <c r="B793" s="14" t="s">
        <v>808</v>
      </c>
      <c r="C793" s="14"/>
      <c r="D793" s="14"/>
      <c r="E793" s="1">
        <v>65</v>
      </c>
      <c r="F793" s="1">
        <f t="shared" si="23"/>
        <v>42.75</v>
      </c>
      <c r="G793" s="1">
        <v>48</v>
      </c>
      <c r="H793" s="1">
        <f t="shared" si="24"/>
        <v>43.25</v>
      </c>
      <c r="I793" s="1">
        <v>61</v>
      </c>
      <c r="J793" s="1">
        <f t="shared" si="25"/>
        <v>61.25</v>
      </c>
      <c r="M793" s="1">
        <v>17</v>
      </c>
      <c r="P793" s="1">
        <v>10</v>
      </c>
      <c r="Q793" s="1">
        <v>6</v>
      </c>
      <c r="R793" s="1">
        <v>1</v>
      </c>
      <c r="S793" s="1">
        <v>7</v>
      </c>
    </row>
    <row r="794" spans="1:19" x14ac:dyDescent="0.25">
      <c r="A794" s="12">
        <v>40234</v>
      </c>
      <c r="B794" s="14" t="s">
        <v>809</v>
      </c>
      <c r="C794" s="14"/>
      <c r="D794" s="14"/>
      <c r="E794" s="1">
        <v>59</v>
      </c>
      <c r="F794" s="1">
        <f t="shared" si="23"/>
        <v>41.75</v>
      </c>
      <c r="G794" s="1">
        <v>50</v>
      </c>
      <c r="H794" s="1">
        <f t="shared" si="24"/>
        <v>46.5</v>
      </c>
      <c r="I794" s="1">
        <v>59</v>
      </c>
      <c r="J794" s="1">
        <f t="shared" si="25"/>
        <v>63.25</v>
      </c>
      <c r="M794" s="1">
        <v>13</v>
      </c>
      <c r="P794" s="1">
        <v>8</v>
      </c>
      <c r="Q794" s="1">
        <v>7</v>
      </c>
      <c r="R794" s="1">
        <v>5</v>
      </c>
      <c r="S794" s="1">
        <v>8</v>
      </c>
    </row>
    <row r="795" spans="1:19" x14ac:dyDescent="0.25">
      <c r="A795" s="12">
        <v>40241</v>
      </c>
      <c r="B795" s="14" t="s">
        <v>810</v>
      </c>
      <c r="C795" s="14"/>
      <c r="D795" s="14"/>
      <c r="E795" s="1">
        <v>63</v>
      </c>
      <c r="F795" s="1">
        <f t="shared" si="23"/>
        <v>36</v>
      </c>
      <c r="G795" s="1">
        <v>44</v>
      </c>
      <c r="H795" s="1">
        <f t="shared" si="24"/>
        <v>46.25</v>
      </c>
      <c r="I795" s="1">
        <v>77</v>
      </c>
      <c r="J795" s="1">
        <f t="shared" si="25"/>
        <v>59.75</v>
      </c>
      <c r="M795" s="1">
        <v>7</v>
      </c>
      <c r="P795" s="1">
        <v>15</v>
      </c>
      <c r="Q795" s="1">
        <v>7</v>
      </c>
      <c r="R795" s="1">
        <v>4</v>
      </c>
      <c r="S795" s="1">
        <v>9</v>
      </c>
    </row>
    <row r="796" spans="1:19" x14ac:dyDescent="0.25">
      <c r="A796" s="12">
        <v>40248</v>
      </c>
      <c r="B796" s="14" t="s">
        <v>811</v>
      </c>
      <c r="C796" s="14"/>
      <c r="D796" s="14"/>
      <c r="E796" s="1">
        <v>62</v>
      </c>
      <c r="F796" s="1">
        <f t="shared" si="23"/>
        <v>34</v>
      </c>
      <c r="G796" s="1">
        <v>39</v>
      </c>
      <c r="H796" s="1">
        <f t="shared" si="24"/>
        <v>44.75</v>
      </c>
      <c r="I796" s="1">
        <v>51</v>
      </c>
      <c r="J796" s="1">
        <f t="shared" si="25"/>
        <v>59.25</v>
      </c>
      <c r="M796" s="1">
        <v>8</v>
      </c>
      <c r="P796" s="1">
        <v>9</v>
      </c>
      <c r="Q796" s="1">
        <v>13</v>
      </c>
      <c r="R796" s="1">
        <v>7</v>
      </c>
      <c r="S796" s="1">
        <v>10</v>
      </c>
    </row>
    <row r="797" spans="1:19" x14ac:dyDescent="0.25">
      <c r="A797" s="12">
        <v>40255</v>
      </c>
      <c r="B797" s="14" t="s">
        <v>812</v>
      </c>
      <c r="C797" s="14"/>
      <c r="D797" s="14"/>
      <c r="E797" s="1">
        <v>51</v>
      </c>
      <c r="F797" s="1">
        <f t="shared" si="23"/>
        <v>31.75</v>
      </c>
      <c r="G797" s="1">
        <v>52</v>
      </c>
      <c r="H797" s="1">
        <f t="shared" si="24"/>
        <v>40.75</v>
      </c>
      <c r="I797" s="1">
        <v>47</v>
      </c>
      <c r="J797" s="1">
        <f t="shared" si="25"/>
        <v>49.25</v>
      </c>
      <c r="M797" s="1">
        <v>5</v>
      </c>
      <c r="P797" s="1">
        <v>2</v>
      </c>
      <c r="Q797" s="1">
        <v>7</v>
      </c>
      <c r="R797" s="1">
        <v>2</v>
      </c>
      <c r="S797" s="1">
        <v>11</v>
      </c>
    </row>
    <row r="798" spans="1:19" x14ac:dyDescent="0.25">
      <c r="A798" s="12">
        <v>40262</v>
      </c>
      <c r="B798" s="14" t="s">
        <v>813</v>
      </c>
      <c r="C798" s="14"/>
      <c r="D798" s="14"/>
      <c r="E798" s="1">
        <v>42</v>
      </c>
      <c r="F798" s="1">
        <f t="shared" si="23"/>
        <v>24.5</v>
      </c>
      <c r="G798" s="1">
        <v>47</v>
      </c>
      <c r="H798" s="1">
        <f t="shared" si="24"/>
        <v>38.75</v>
      </c>
      <c r="I798" s="1">
        <v>45</v>
      </c>
      <c r="J798" s="1">
        <f t="shared" si="25"/>
        <v>49.75</v>
      </c>
      <c r="M798" s="1">
        <v>11</v>
      </c>
      <c r="P798" s="1">
        <v>6</v>
      </c>
      <c r="Q798" s="1">
        <v>9</v>
      </c>
      <c r="R798" s="1">
        <v>3</v>
      </c>
      <c r="S798" s="1">
        <v>12</v>
      </c>
    </row>
    <row r="799" spans="1:19" x14ac:dyDescent="0.25">
      <c r="A799" s="12">
        <v>40269</v>
      </c>
      <c r="B799" s="14" t="s">
        <v>814</v>
      </c>
      <c r="C799" s="14"/>
      <c r="D799" s="14"/>
      <c r="E799" s="1">
        <v>25</v>
      </c>
      <c r="F799" s="1">
        <f t="shared" si="23"/>
        <v>24</v>
      </c>
      <c r="G799" s="1">
        <v>44</v>
      </c>
      <c r="H799" s="1">
        <f t="shared" si="24"/>
        <v>35.75</v>
      </c>
      <c r="I799" s="1">
        <v>49</v>
      </c>
      <c r="J799" s="1">
        <f t="shared" si="25"/>
        <v>47.5</v>
      </c>
      <c r="M799" s="1">
        <v>14</v>
      </c>
      <c r="P799" s="1">
        <v>7</v>
      </c>
      <c r="Q799" s="1">
        <v>7</v>
      </c>
      <c r="R799" s="1">
        <v>2</v>
      </c>
      <c r="S799" s="1">
        <v>13</v>
      </c>
    </row>
    <row r="800" spans="1:19" x14ac:dyDescent="0.25">
      <c r="A800" s="12">
        <v>40276</v>
      </c>
      <c r="B800" s="14" t="s">
        <v>815</v>
      </c>
      <c r="C800" s="14"/>
      <c r="D800" s="14"/>
      <c r="E800" s="1">
        <v>29</v>
      </c>
      <c r="F800" s="1">
        <f t="shared" si="23"/>
        <v>23.25</v>
      </c>
      <c r="G800" s="1">
        <v>32</v>
      </c>
      <c r="H800" s="1">
        <f t="shared" si="24"/>
        <v>34.75</v>
      </c>
      <c r="I800" s="1">
        <v>50</v>
      </c>
      <c r="J800" s="1">
        <f t="shared" si="25"/>
        <v>47.25</v>
      </c>
      <c r="M800" s="1">
        <v>14</v>
      </c>
      <c r="P800" s="1">
        <v>13</v>
      </c>
      <c r="Q800" s="2" t="s">
        <v>551</v>
      </c>
      <c r="R800" s="1">
        <v>0</v>
      </c>
      <c r="S800" s="1">
        <v>14</v>
      </c>
    </row>
    <row r="801" spans="1:19" x14ac:dyDescent="0.25">
      <c r="A801" s="12">
        <v>40283</v>
      </c>
      <c r="B801" s="14" t="s">
        <v>816</v>
      </c>
      <c r="C801" s="14"/>
      <c r="D801" s="14"/>
      <c r="E801" s="1">
        <v>34</v>
      </c>
      <c r="F801" s="1">
        <f t="shared" si="23"/>
        <v>25</v>
      </c>
      <c r="G801" s="1">
        <v>36</v>
      </c>
      <c r="H801" s="1">
        <f t="shared" si="24"/>
        <v>35.5</v>
      </c>
      <c r="I801" s="1">
        <v>37</v>
      </c>
      <c r="J801" s="1">
        <f t="shared" si="25"/>
        <v>48</v>
      </c>
      <c r="M801" s="1">
        <v>13</v>
      </c>
      <c r="P801" s="1">
        <v>10</v>
      </c>
      <c r="Q801" s="1">
        <v>7</v>
      </c>
      <c r="R801" s="1">
        <v>6</v>
      </c>
      <c r="S801" s="1">
        <v>15</v>
      </c>
    </row>
    <row r="802" spans="1:19" x14ac:dyDescent="0.25">
      <c r="A802" s="12">
        <v>40290</v>
      </c>
      <c r="B802" s="14" t="s">
        <v>817</v>
      </c>
      <c r="C802" s="14"/>
      <c r="D802" s="14"/>
      <c r="E802" s="1">
        <v>21</v>
      </c>
      <c r="F802" s="1">
        <f t="shared" si="23"/>
        <v>25.25</v>
      </c>
      <c r="G802" s="1">
        <v>32</v>
      </c>
      <c r="H802" s="1">
        <f t="shared" si="24"/>
        <v>36.5</v>
      </c>
      <c r="I802" s="1">
        <v>44</v>
      </c>
      <c r="J802" s="1">
        <f t="shared" si="25"/>
        <v>46.25</v>
      </c>
      <c r="M802" s="1">
        <v>11</v>
      </c>
      <c r="P802" s="1">
        <v>13</v>
      </c>
      <c r="Q802" s="1">
        <v>15</v>
      </c>
      <c r="R802" s="1">
        <v>1</v>
      </c>
      <c r="S802" s="1">
        <v>16</v>
      </c>
    </row>
    <row r="803" spans="1:19" x14ac:dyDescent="0.25">
      <c r="A803" s="12">
        <v>40297</v>
      </c>
      <c r="B803" s="14" t="s">
        <v>818</v>
      </c>
      <c r="C803" s="14"/>
      <c r="D803" s="14"/>
      <c r="E803" s="1">
        <v>20</v>
      </c>
      <c r="F803" s="1">
        <f t="shared" si="23"/>
        <v>22</v>
      </c>
      <c r="G803" s="1">
        <v>30</v>
      </c>
      <c r="H803" s="1">
        <f t="shared" si="24"/>
        <v>35.75</v>
      </c>
      <c r="I803" s="1">
        <v>47</v>
      </c>
      <c r="J803" s="1">
        <f t="shared" si="25"/>
        <v>53.5</v>
      </c>
      <c r="M803" s="1">
        <v>9</v>
      </c>
      <c r="P803" s="1">
        <v>9</v>
      </c>
      <c r="Q803" s="1">
        <v>6</v>
      </c>
      <c r="R803" s="1">
        <v>4</v>
      </c>
      <c r="S803" s="1">
        <v>17</v>
      </c>
    </row>
    <row r="804" spans="1:19" x14ac:dyDescent="0.25">
      <c r="A804" s="12">
        <v>40304</v>
      </c>
      <c r="B804" s="14" t="s">
        <v>819</v>
      </c>
      <c r="C804" s="14"/>
      <c r="D804" s="14"/>
      <c r="E804" s="1">
        <v>25</v>
      </c>
      <c r="F804" s="1">
        <f t="shared" si="23"/>
        <v>23.5</v>
      </c>
      <c r="G804" s="1">
        <v>31</v>
      </c>
      <c r="H804" s="1">
        <f t="shared" si="24"/>
        <v>33</v>
      </c>
      <c r="I804" s="1">
        <v>52</v>
      </c>
      <c r="J804" s="1">
        <f t="shared" si="25"/>
        <v>47.25</v>
      </c>
      <c r="M804" s="1">
        <v>8</v>
      </c>
      <c r="P804" s="1">
        <v>9</v>
      </c>
      <c r="Q804" s="2" t="s">
        <v>551</v>
      </c>
      <c r="R804" s="1">
        <v>3</v>
      </c>
      <c r="S804" s="1">
        <v>18</v>
      </c>
    </row>
    <row r="805" spans="1:19" x14ac:dyDescent="0.25">
      <c r="A805" s="12">
        <v>40311</v>
      </c>
      <c r="B805" s="14" t="s">
        <v>820</v>
      </c>
      <c r="C805" s="14"/>
      <c r="D805" s="14"/>
      <c r="E805" s="1">
        <v>27</v>
      </c>
      <c r="F805" s="1">
        <f t="shared" si="23"/>
        <v>20.5</v>
      </c>
      <c r="G805" s="1">
        <v>41</v>
      </c>
      <c r="H805" s="1">
        <f t="shared" si="24"/>
        <v>34.75</v>
      </c>
      <c r="I805" s="1">
        <v>51</v>
      </c>
      <c r="J805" s="1">
        <f t="shared" si="25"/>
        <v>52.5</v>
      </c>
      <c r="M805" s="1">
        <v>8</v>
      </c>
      <c r="P805" s="1">
        <v>6</v>
      </c>
      <c r="Q805" s="1">
        <v>8</v>
      </c>
      <c r="R805" s="1">
        <v>1</v>
      </c>
      <c r="S805" s="1">
        <v>19</v>
      </c>
    </row>
    <row r="806" spans="1:19" x14ac:dyDescent="0.25">
      <c r="A806" s="12">
        <v>40318</v>
      </c>
      <c r="B806" s="14" t="s">
        <v>821</v>
      </c>
      <c r="C806" s="14"/>
      <c r="D806" s="14"/>
      <c r="E806" s="1">
        <v>27</v>
      </c>
      <c r="F806" s="1">
        <f t="shared" si="23"/>
        <v>20</v>
      </c>
      <c r="G806" s="1">
        <v>34</v>
      </c>
      <c r="H806" s="1">
        <f t="shared" si="24"/>
        <v>39.5</v>
      </c>
      <c r="I806" s="1">
        <v>53</v>
      </c>
      <c r="J806" s="1">
        <f t="shared" si="25"/>
        <v>46.25</v>
      </c>
      <c r="M806" s="1">
        <v>4</v>
      </c>
      <c r="P806" s="1">
        <v>8</v>
      </c>
      <c r="Q806" s="1">
        <v>5</v>
      </c>
      <c r="R806" s="1">
        <v>1</v>
      </c>
      <c r="S806" s="1">
        <v>20</v>
      </c>
    </row>
    <row r="807" spans="1:19" x14ac:dyDescent="0.25">
      <c r="A807" s="12">
        <v>40325</v>
      </c>
      <c r="B807" s="14" t="s">
        <v>822</v>
      </c>
      <c r="C807" s="14"/>
      <c r="D807" s="14"/>
      <c r="E807" s="1">
        <v>32</v>
      </c>
      <c r="F807" s="1">
        <f t="shared" si="23"/>
        <v>24.75</v>
      </c>
      <c r="G807" s="1">
        <v>43</v>
      </c>
      <c r="H807" s="1">
        <f t="shared" si="24"/>
        <v>32.75</v>
      </c>
      <c r="I807" s="1">
        <v>42</v>
      </c>
      <c r="J807" s="1">
        <f t="shared" si="25"/>
        <v>48.25</v>
      </c>
      <c r="M807" s="1">
        <v>8</v>
      </c>
      <c r="P807" s="1">
        <v>7</v>
      </c>
      <c r="Q807" s="1">
        <v>8</v>
      </c>
      <c r="R807" s="1">
        <v>1</v>
      </c>
      <c r="S807" s="1">
        <v>21</v>
      </c>
    </row>
    <row r="808" spans="1:19" x14ac:dyDescent="0.25">
      <c r="A808" s="12">
        <v>40332</v>
      </c>
      <c r="B808" s="14" t="s">
        <v>823</v>
      </c>
      <c r="C808" s="14"/>
      <c r="D808" s="14"/>
      <c r="E808" s="1">
        <v>22</v>
      </c>
      <c r="F808" s="1">
        <f t="shared" si="23"/>
        <v>22</v>
      </c>
      <c r="G808" s="1">
        <v>33</v>
      </c>
      <c r="H808" s="1">
        <f t="shared" si="24"/>
        <v>34.25</v>
      </c>
      <c r="I808" s="1">
        <v>33</v>
      </c>
      <c r="J808" s="1">
        <f t="shared" si="25"/>
        <v>49.25</v>
      </c>
      <c r="M808" s="1">
        <v>6</v>
      </c>
      <c r="P808" s="1">
        <v>11</v>
      </c>
      <c r="Q808" s="1">
        <v>5</v>
      </c>
      <c r="R808" s="1">
        <v>0</v>
      </c>
      <c r="S808" s="1">
        <v>22</v>
      </c>
    </row>
    <row r="809" spans="1:19" x14ac:dyDescent="0.25">
      <c r="A809" s="12">
        <v>40339</v>
      </c>
      <c r="B809" s="14" t="s">
        <v>824</v>
      </c>
      <c r="C809" s="14"/>
      <c r="D809" s="14"/>
      <c r="E809" s="1">
        <v>15</v>
      </c>
      <c r="F809" s="1">
        <f t="shared" si="23"/>
        <v>19.5</v>
      </c>
      <c r="G809" s="1">
        <v>36</v>
      </c>
      <c r="H809" s="1">
        <f t="shared" si="24"/>
        <v>35.5</v>
      </c>
      <c r="I809" s="1">
        <v>48</v>
      </c>
      <c r="J809" s="1">
        <f t="shared" si="25"/>
        <v>50.5</v>
      </c>
      <c r="M809" s="1">
        <v>5</v>
      </c>
      <c r="P809" s="1">
        <v>15</v>
      </c>
      <c r="Q809" s="1">
        <v>6</v>
      </c>
      <c r="R809" s="1">
        <v>0</v>
      </c>
      <c r="S809" s="1">
        <v>23</v>
      </c>
    </row>
    <row r="810" spans="1:19" x14ac:dyDescent="0.25">
      <c r="A810" s="12">
        <v>40346</v>
      </c>
      <c r="B810" s="14" t="s">
        <v>825</v>
      </c>
      <c r="C810" s="14"/>
      <c r="D810" s="14"/>
      <c r="E810" s="1">
        <v>21</v>
      </c>
      <c r="F810" s="1">
        <f t="shared" si="23"/>
        <v>20.75</v>
      </c>
      <c r="G810" s="1">
        <v>36</v>
      </c>
      <c r="H810" s="1">
        <f t="shared" si="24"/>
        <v>37</v>
      </c>
      <c r="I810" s="1">
        <v>49</v>
      </c>
      <c r="J810" s="1">
        <f t="shared" si="25"/>
        <v>53.25</v>
      </c>
      <c r="M810" s="1">
        <v>9</v>
      </c>
      <c r="P810" s="1">
        <v>17</v>
      </c>
      <c r="Q810" s="1">
        <v>4</v>
      </c>
      <c r="R810" s="1">
        <v>0</v>
      </c>
      <c r="S810" s="1">
        <v>24</v>
      </c>
    </row>
    <row r="811" spans="1:19" x14ac:dyDescent="0.25">
      <c r="A811" s="12">
        <v>40353</v>
      </c>
      <c r="B811" s="14" t="s">
        <v>826</v>
      </c>
      <c r="C811" s="14"/>
      <c r="D811" s="14"/>
      <c r="E811" s="1">
        <v>21</v>
      </c>
      <c r="F811" s="1">
        <f t="shared" si="23"/>
        <v>22.25</v>
      </c>
      <c r="G811" s="1">
        <v>33</v>
      </c>
      <c r="H811" s="1">
        <f t="shared" si="24"/>
        <v>33</v>
      </c>
      <c r="I811" s="1">
        <v>65</v>
      </c>
      <c r="J811" s="1">
        <f t="shared" si="25"/>
        <v>55</v>
      </c>
      <c r="M811" s="1">
        <v>10</v>
      </c>
      <c r="P811" s="1">
        <v>14</v>
      </c>
      <c r="Q811" s="1">
        <v>12</v>
      </c>
      <c r="R811" s="1">
        <v>0</v>
      </c>
      <c r="S811" s="1">
        <v>25</v>
      </c>
    </row>
    <row r="812" spans="1:19" x14ac:dyDescent="0.25">
      <c r="A812" s="12">
        <v>40360</v>
      </c>
      <c r="B812" s="14" t="s">
        <v>827</v>
      </c>
      <c r="C812" s="14"/>
      <c r="D812" s="14"/>
      <c r="E812" s="1">
        <v>28</v>
      </c>
      <c r="F812" s="1">
        <f t="shared" si="23"/>
        <v>23.5</v>
      </c>
      <c r="G812" s="1">
        <v>32</v>
      </c>
      <c r="H812" s="1">
        <f t="shared" si="24"/>
        <v>35.25</v>
      </c>
      <c r="I812" s="1">
        <v>56</v>
      </c>
      <c r="J812" s="1">
        <f t="shared" si="25"/>
        <v>56</v>
      </c>
      <c r="M812" s="1">
        <v>6</v>
      </c>
      <c r="P812" s="1">
        <v>4</v>
      </c>
      <c r="Q812" s="1">
        <v>12</v>
      </c>
      <c r="R812" s="1">
        <v>6</v>
      </c>
      <c r="S812" s="1">
        <v>26</v>
      </c>
    </row>
    <row r="813" spans="1:19" x14ac:dyDescent="0.25">
      <c r="A813" s="12">
        <v>40367</v>
      </c>
      <c r="B813" s="14" t="s">
        <v>828</v>
      </c>
      <c r="C813" s="14"/>
      <c r="D813" s="14"/>
      <c r="E813" s="1">
        <v>33</v>
      </c>
      <c r="F813" s="1">
        <f t="shared" si="23"/>
        <v>27.75</v>
      </c>
      <c r="G813" s="1">
        <v>33</v>
      </c>
      <c r="H813" s="1">
        <f t="shared" si="24"/>
        <v>38.25</v>
      </c>
      <c r="I813" s="1">
        <v>49</v>
      </c>
      <c r="J813" s="1">
        <f t="shared" si="25"/>
        <v>57</v>
      </c>
      <c r="M813" s="1">
        <v>6</v>
      </c>
      <c r="P813" s="1">
        <v>9</v>
      </c>
      <c r="Q813" s="1">
        <v>8</v>
      </c>
      <c r="R813" s="1">
        <v>1</v>
      </c>
      <c r="S813" s="1">
        <v>27</v>
      </c>
    </row>
    <row r="814" spans="1:19" x14ac:dyDescent="0.25">
      <c r="A814" s="12">
        <v>40374</v>
      </c>
      <c r="B814" s="14" t="s">
        <v>829</v>
      </c>
      <c r="C814" s="14"/>
      <c r="D814" s="14"/>
      <c r="E814" s="1">
        <v>28</v>
      </c>
      <c r="F814" s="1">
        <f t="shared" si="23"/>
        <v>26.5</v>
      </c>
      <c r="G814" s="1">
        <v>38</v>
      </c>
      <c r="H814" s="1">
        <f t="shared" si="24"/>
        <v>37.5</v>
      </c>
      <c r="I814" s="1">
        <v>47</v>
      </c>
      <c r="J814" s="1">
        <f t="shared" si="25"/>
        <v>56.75</v>
      </c>
      <c r="M814" s="1">
        <v>9</v>
      </c>
      <c r="P814" s="1">
        <v>17</v>
      </c>
      <c r="Q814" s="1">
        <v>7</v>
      </c>
      <c r="R814" s="1">
        <v>2</v>
      </c>
      <c r="S814" s="1">
        <v>28</v>
      </c>
    </row>
    <row r="815" spans="1:19" x14ac:dyDescent="0.25">
      <c r="A815" s="12">
        <v>40381</v>
      </c>
      <c r="B815" s="14" t="s">
        <v>830</v>
      </c>
      <c r="C815" s="14"/>
      <c r="D815" s="14"/>
      <c r="E815" s="1">
        <v>32</v>
      </c>
      <c r="F815" s="1">
        <f t="shared" si="23"/>
        <v>28.75</v>
      </c>
      <c r="G815" s="1">
        <v>37</v>
      </c>
      <c r="H815" s="1">
        <f t="shared" si="24"/>
        <v>44.75</v>
      </c>
      <c r="I815" s="1">
        <v>46</v>
      </c>
      <c r="J815" s="1">
        <f t="shared" si="25"/>
        <v>57.5</v>
      </c>
      <c r="M815" s="1">
        <v>7</v>
      </c>
      <c r="P815" s="1">
        <v>15</v>
      </c>
      <c r="Q815" s="1">
        <v>9</v>
      </c>
      <c r="R815" s="1">
        <v>1</v>
      </c>
      <c r="S815" s="1">
        <v>29</v>
      </c>
    </row>
    <row r="816" spans="1:19" x14ac:dyDescent="0.25">
      <c r="A816" s="12">
        <v>40388</v>
      </c>
      <c r="B816" s="14" t="s">
        <v>831</v>
      </c>
      <c r="C816" s="14"/>
      <c r="D816" s="14"/>
      <c r="E816" s="1">
        <v>35</v>
      </c>
      <c r="F816" s="1">
        <f t="shared" si="23"/>
        <v>30.25</v>
      </c>
      <c r="G816" s="1">
        <v>34</v>
      </c>
      <c r="H816" s="1">
        <f t="shared" si="24"/>
        <v>43</v>
      </c>
      <c r="I816" s="1">
        <v>61</v>
      </c>
      <c r="J816" s="1">
        <f t="shared" si="25"/>
        <v>59.5</v>
      </c>
      <c r="M816" s="1">
        <v>11</v>
      </c>
      <c r="P816" s="1">
        <v>16</v>
      </c>
      <c r="Q816" s="1">
        <v>10</v>
      </c>
      <c r="R816" s="1">
        <v>2</v>
      </c>
      <c r="S816" s="1">
        <v>30</v>
      </c>
    </row>
    <row r="817" spans="1:19" x14ac:dyDescent="0.25">
      <c r="A817" s="12">
        <v>40395</v>
      </c>
      <c r="B817" s="14" t="s">
        <v>832</v>
      </c>
      <c r="C817" s="14"/>
      <c r="D817" s="14"/>
      <c r="E817" s="1">
        <v>44</v>
      </c>
      <c r="F817" s="1">
        <f t="shared" si="23"/>
        <v>30.5</v>
      </c>
      <c r="G817" s="1">
        <v>33</v>
      </c>
      <c r="H817" s="1">
        <f t="shared" si="24"/>
        <v>40</v>
      </c>
      <c r="I817" s="1">
        <v>60</v>
      </c>
      <c r="J817" s="1">
        <f t="shared" si="25"/>
        <v>59.75</v>
      </c>
      <c r="M817" s="1">
        <v>13</v>
      </c>
      <c r="P817" s="1">
        <v>9</v>
      </c>
      <c r="Q817" s="1">
        <v>10</v>
      </c>
      <c r="R817" s="1">
        <v>0</v>
      </c>
      <c r="S817" s="1">
        <v>31</v>
      </c>
    </row>
    <row r="818" spans="1:19" x14ac:dyDescent="0.25">
      <c r="A818" s="12">
        <v>40402</v>
      </c>
      <c r="B818" s="14" t="s">
        <v>833</v>
      </c>
      <c r="C818" s="14"/>
      <c r="D818" s="14"/>
      <c r="E818" s="1">
        <v>46</v>
      </c>
      <c r="F818" s="1">
        <f t="shared" si="23"/>
        <v>31.75</v>
      </c>
      <c r="G818" s="1">
        <v>42</v>
      </c>
      <c r="H818" s="1">
        <f t="shared" si="24"/>
        <v>44.75</v>
      </c>
      <c r="I818" s="1">
        <v>51</v>
      </c>
      <c r="J818" s="1">
        <f t="shared" si="25"/>
        <v>60.25</v>
      </c>
      <c r="M818" s="1">
        <v>14</v>
      </c>
      <c r="P818" s="1">
        <v>8</v>
      </c>
      <c r="Q818" s="1">
        <v>7</v>
      </c>
      <c r="R818" s="1">
        <v>4</v>
      </c>
      <c r="S818" s="1">
        <v>32</v>
      </c>
    </row>
    <row r="819" spans="1:19" x14ac:dyDescent="0.25">
      <c r="A819" s="12">
        <v>40409</v>
      </c>
      <c r="B819" s="14" t="s">
        <v>834</v>
      </c>
      <c r="C819" s="14"/>
      <c r="D819" s="14"/>
      <c r="E819" s="1">
        <v>55</v>
      </c>
      <c r="F819" s="1">
        <f t="shared" si="23"/>
        <v>31.5</v>
      </c>
      <c r="G819" s="1">
        <v>41</v>
      </c>
      <c r="H819" s="1">
        <f t="shared" si="24"/>
        <v>43.75</v>
      </c>
      <c r="I819" s="1">
        <v>60</v>
      </c>
      <c r="J819" s="1">
        <f t="shared" si="25"/>
        <v>57.75</v>
      </c>
      <c r="M819" s="1">
        <v>12</v>
      </c>
      <c r="P819" s="1">
        <v>10</v>
      </c>
      <c r="Q819" s="1">
        <v>18</v>
      </c>
      <c r="R819" s="1">
        <v>2</v>
      </c>
      <c r="S819" s="1">
        <v>33</v>
      </c>
    </row>
    <row r="820" spans="1:19" x14ac:dyDescent="0.25">
      <c r="A820" s="12">
        <v>40416</v>
      </c>
      <c r="B820" s="14" t="s">
        <v>835</v>
      </c>
      <c r="C820" s="14"/>
      <c r="D820" s="14"/>
      <c r="E820" s="1">
        <v>53</v>
      </c>
      <c r="F820" s="1">
        <f t="shared" si="23"/>
        <v>32.25</v>
      </c>
      <c r="G820" s="1">
        <v>41</v>
      </c>
      <c r="H820" s="1">
        <f t="shared" si="24"/>
        <v>46</v>
      </c>
      <c r="I820" s="1">
        <v>51</v>
      </c>
      <c r="J820" s="1">
        <f t="shared" si="25"/>
        <v>60.5</v>
      </c>
      <c r="M820" s="1">
        <v>8</v>
      </c>
      <c r="P820" s="1">
        <v>9</v>
      </c>
      <c r="Q820" s="1">
        <v>5</v>
      </c>
      <c r="R820" s="1">
        <v>2</v>
      </c>
      <c r="S820" s="1">
        <v>34</v>
      </c>
    </row>
    <row r="821" spans="1:19" x14ac:dyDescent="0.25">
      <c r="A821" s="12">
        <v>40423</v>
      </c>
      <c r="B821" s="14" t="s">
        <v>836</v>
      </c>
      <c r="C821" s="14"/>
      <c r="D821" s="14"/>
      <c r="E821" s="1">
        <v>50</v>
      </c>
      <c r="F821" s="1">
        <f t="shared" si="23"/>
        <v>35.25</v>
      </c>
      <c r="G821" s="1">
        <v>41</v>
      </c>
      <c r="H821" s="1">
        <f t="shared" si="24"/>
        <v>37.5</v>
      </c>
      <c r="I821" s="1">
        <v>53</v>
      </c>
      <c r="J821" s="1">
        <f t="shared" si="25"/>
        <v>60.25</v>
      </c>
      <c r="M821" s="1">
        <v>11</v>
      </c>
      <c r="P821" s="1">
        <v>4</v>
      </c>
      <c r="Q821" s="1">
        <v>9</v>
      </c>
      <c r="R821" s="1">
        <v>0</v>
      </c>
      <c r="S821" s="1">
        <v>35</v>
      </c>
    </row>
    <row r="822" spans="1:19" x14ac:dyDescent="0.25">
      <c r="A822" s="12">
        <v>40430</v>
      </c>
      <c r="B822" s="14" t="s">
        <v>837</v>
      </c>
      <c r="C822" s="14"/>
      <c r="D822" s="14"/>
      <c r="E822" s="1">
        <v>39</v>
      </c>
      <c r="F822" s="1">
        <f t="shared" si="23"/>
        <v>39</v>
      </c>
      <c r="G822" s="1">
        <v>42</v>
      </c>
      <c r="H822" s="1">
        <f t="shared" si="24"/>
        <v>38.5</v>
      </c>
      <c r="I822" s="1">
        <v>56</v>
      </c>
      <c r="J822" s="1">
        <f t="shared" si="25"/>
        <v>58.5</v>
      </c>
      <c r="M822" s="1">
        <v>15</v>
      </c>
      <c r="P822" s="1">
        <v>9</v>
      </c>
      <c r="Q822" s="2" t="s">
        <v>551</v>
      </c>
      <c r="R822" s="1">
        <v>1</v>
      </c>
      <c r="S822" s="1">
        <v>36</v>
      </c>
    </row>
    <row r="823" spans="1:19" x14ac:dyDescent="0.25">
      <c r="A823" s="12">
        <v>40437</v>
      </c>
      <c r="B823" s="14" t="s">
        <v>838</v>
      </c>
      <c r="C823" s="14"/>
      <c r="D823" s="14"/>
      <c r="E823" s="1">
        <v>43</v>
      </c>
      <c r="F823" s="1">
        <f t="shared" si="23"/>
        <v>33.5</v>
      </c>
      <c r="G823" s="1">
        <v>45</v>
      </c>
      <c r="H823" s="1">
        <f t="shared" si="24"/>
        <v>45.25</v>
      </c>
      <c r="I823" s="1">
        <v>54</v>
      </c>
      <c r="J823" s="1">
        <f t="shared" si="25"/>
        <v>62.5</v>
      </c>
      <c r="M823" s="1">
        <v>11</v>
      </c>
      <c r="P823" s="1">
        <v>9</v>
      </c>
      <c r="Q823" s="1">
        <v>7</v>
      </c>
      <c r="R823" s="1">
        <v>3</v>
      </c>
      <c r="S823" s="1">
        <v>37</v>
      </c>
    </row>
    <row r="824" spans="1:19" x14ac:dyDescent="0.25">
      <c r="A824" s="12">
        <v>40444</v>
      </c>
      <c r="B824" s="14" t="s">
        <v>839</v>
      </c>
      <c r="C824" s="14"/>
      <c r="D824" s="14"/>
      <c r="E824" s="1">
        <v>49</v>
      </c>
      <c r="F824" s="1">
        <f t="shared" si="23"/>
        <v>29.75</v>
      </c>
      <c r="G824" s="1">
        <v>47</v>
      </c>
      <c r="H824" s="1">
        <f t="shared" si="24"/>
        <v>46.25</v>
      </c>
      <c r="I824" s="1">
        <v>63</v>
      </c>
      <c r="J824" s="1">
        <f t="shared" si="25"/>
        <v>64.75</v>
      </c>
      <c r="M824" s="1">
        <v>13</v>
      </c>
      <c r="P824" s="1">
        <v>14</v>
      </c>
      <c r="Q824" s="1">
        <v>8</v>
      </c>
      <c r="R824" s="1">
        <v>1</v>
      </c>
      <c r="S824" s="1">
        <v>38</v>
      </c>
    </row>
    <row r="825" spans="1:19" x14ac:dyDescent="0.25">
      <c r="A825" s="12">
        <v>40451</v>
      </c>
      <c r="B825" s="14" t="s">
        <v>840</v>
      </c>
      <c r="C825" s="14"/>
      <c r="D825" s="14"/>
      <c r="E825" s="1">
        <v>49</v>
      </c>
      <c r="F825" s="1">
        <f t="shared" si="23"/>
        <v>37</v>
      </c>
      <c r="G825" s="1">
        <v>44</v>
      </c>
      <c r="H825" s="1">
        <f t="shared" si="24"/>
        <v>44.25</v>
      </c>
      <c r="I825" s="1">
        <v>74</v>
      </c>
      <c r="J825" s="1">
        <f t="shared" si="25"/>
        <v>61.25</v>
      </c>
      <c r="M825" s="1">
        <v>11</v>
      </c>
      <c r="P825" s="2" t="s">
        <v>551</v>
      </c>
      <c r="Q825" s="2" t="s">
        <v>551</v>
      </c>
      <c r="R825" s="2" t="s">
        <v>551</v>
      </c>
      <c r="S825" s="1">
        <v>39</v>
      </c>
    </row>
    <row r="826" spans="1:19" x14ac:dyDescent="0.25">
      <c r="A826" s="12">
        <v>40458</v>
      </c>
      <c r="B826" s="14" t="s">
        <v>841</v>
      </c>
      <c r="C826" s="14"/>
      <c r="D826" s="14"/>
      <c r="E826" s="1">
        <v>37</v>
      </c>
      <c r="F826" s="1">
        <f t="shared" si="23"/>
        <v>35</v>
      </c>
      <c r="G826" s="1">
        <v>48</v>
      </c>
      <c r="H826" s="1">
        <f t="shared" si="24"/>
        <v>44.25</v>
      </c>
      <c r="I826" s="1">
        <v>70</v>
      </c>
      <c r="J826" s="1">
        <f t="shared" si="25"/>
        <v>65.25</v>
      </c>
      <c r="M826" s="1">
        <v>5</v>
      </c>
      <c r="P826" s="1">
        <v>15</v>
      </c>
      <c r="Q826" s="2" t="s">
        <v>551</v>
      </c>
      <c r="R826" s="1">
        <v>0</v>
      </c>
      <c r="S826" s="1">
        <v>40</v>
      </c>
    </row>
    <row r="827" spans="1:19" x14ac:dyDescent="0.25">
      <c r="A827" s="12">
        <v>40465</v>
      </c>
      <c r="B827" s="14" t="s">
        <v>842</v>
      </c>
      <c r="C827" s="14"/>
      <c r="D827" s="14"/>
      <c r="E827" s="1">
        <v>42</v>
      </c>
      <c r="F827" s="1">
        <f t="shared" si="23"/>
        <v>36</v>
      </c>
      <c r="G827" s="1">
        <v>46</v>
      </c>
      <c r="H827" s="1">
        <f t="shared" si="24"/>
        <v>46.25</v>
      </c>
      <c r="I827" s="1">
        <v>69</v>
      </c>
      <c r="J827" s="1">
        <f t="shared" si="25"/>
        <v>67.25</v>
      </c>
      <c r="M827" s="1">
        <v>9</v>
      </c>
      <c r="P827" s="1">
        <v>11</v>
      </c>
      <c r="Q827" s="1">
        <v>6</v>
      </c>
      <c r="R827" s="1">
        <v>2</v>
      </c>
      <c r="S827" s="1">
        <v>41</v>
      </c>
    </row>
    <row r="828" spans="1:19" x14ac:dyDescent="0.25">
      <c r="A828" s="12">
        <v>40472</v>
      </c>
      <c r="B828" s="14" t="s">
        <v>843</v>
      </c>
      <c r="C828" s="14"/>
      <c r="D828" s="14"/>
      <c r="E828" s="1">
        <v>42</v>
      </c>
      <c r="F828" s="1">
        <f t="shared" si="23"/>
        <v>40</v>
      </c>
      <c r="G828" s="1">
        <v>57</v>
      </c>
      <c r="H828" s="1">
        <f t="shared" si="24"/>
        <v>42.5</v>
      </c>
      <c r="I828" s="1">
        <v>67</v>
      </c>
      <c r="J828" s="1">
        <f t="shared" si="25"/>
        <v>67.25</v>
      </c>
      <c r="M828" s="1">
        <v>11</v>
      </c>
      <c r="P828" s="1">
        <v>16</v>
      </c>
      <c r="Q828" s="1">
        <v>7</v>
      </c>
      <c r="R828" s="1">
        <v>1</v>
      </c>
      <c r="S828" s="1">
        <v>42</v>
      </c>
    </row>
    <row r="829" spans="1:19" x14ac:dyDescent="0.25">
      <c r="A829" s="12">
        <v>40479</v>
      </c>
      <c r="B829" s="14" t="s">
        <v>844</v>
      </c>
      <c r="C829" s="14"/>
      <c r="D829" s="14"/>
      <c r="E829" s="1">
        <v>47</v>
      </c>
      <c r="F829" s="1">
        <f t="shared" si="23"/>
        <v>43</v>
      </c>
      <c r="G829" s="1">
        <v>49</v>
      </c>
      <c r="H829" s="1">
        <f t="shared" si="24"/>
        <v>46.75</v>
      </c>
      <c r="I829" s="1">
        <v>62</v>
      </c>
      <c r="J829" s="1">
        <f t="shared" si="25"/>
        <v>71</v>
      </c>
      <c r="M829" s="1">
        <v>13</v>
      </c>
      <c r="P829" s="1">
        <v>20</v>
      </c>
      <c r="Q829" s="1">
        <v>6</v>
      </c>
      <c r="R829" s="1">
        <v>4</v>
      </c>
      <c r="S829" s="1">
        <v>43</v>
      </c>
    </row>
    <row r="830" spans="1:19" x14ac:dyDescent="0.25">
      <c r="A830" s="12">
        <v>40486</v>
      </c>
      <c r="B830" s="14" t="s">
        <v>845</v>
      </c>
      <c r="C830" s="14"/>
      <c r="D830" s="14"/>
      <c r="E830" s="1">
        <v>55</v>
      </c>
      <c r="F830" s="1">
        <f t="shared" si="23"/>
        <v>45.75</v>
      </c>
      <c r="G830" s="1">
        <v>43</v>
      </c>
      <c r="H830" s="1">
        <f t="shared" si="24"/>
        <v>42</v>
      </c>
      <c r="I830" s="1">
        <v>68</v>
      </c>
      <c r="J830" s="1">
        <f t="shared" si="25"/>
        <v>66.75</v>
      </c>
      <c r="M830" s="1">
        <v>10</v>
      </c>
      <c r="P830" s="1">
        <v>14</v>
      </c>
      <c r="Q830" s="1">
        <v>11</v>
      </c>
      <c r="R830" s="1">
        <v>1</v>
      </c>
      <c r="S830" s="1">
        <v>44</v>
      </c>
    </row>
    <row r="831" spans="1:19" x14ac:dyDescent="0.25">
      <c r="A831" s="12">
        <v>40493</v>
      </c>
      <c r="B831" s="14" t="s">
        <v>846</v>
      </c>
      <c r="C831" s="14"/>
      <c r="D831" s="14"/>
      <c r="E831" s="1">
        <v>48</v>
      </c>
      <c r="F831" s="1">
        <f t="shared" si="23"/>
        <v>44</v>
      </c>
      <c r="G831" s="1">
        <v>47</v>
      </c>
      <c r="H831" s="1">
        <f t="shared" si="24"/>
        <v>49</v>
      </c>
      <c r="I831" s="1">
        <v>75</v>
      </c>
      <c r="J831" s="1">
        <f t="shared" si="25"/>
        <v>70</v>
      </c>
      <c r="M831" s="1">
        <v>11</v>
      </c>
      <c r="P831" s="1">
        <v>13</v>
      </c>
      <c r="Q831" s="1">
        <v>4</v>
      </c>
      <c r="R831" s="1">
        <v>2</v>
      </c>
      <c r="S831" s="1">
        <v>45</v>
      </c>
    </row>
    <row r="832" spans="1:19" x14ac:dyDescent="0.25">
      <c r="A832" s="12">
        <v>40500</v>
      </c>
      <c r="B832" s="14" t="s">
        <v>847</v>
      </c>
      <c r="C832" s="14"/>
      <c r="D832" s="14"/>
      <c r="E832" s="1">
        <v>54</v>
      </c>
      <c r="F832" s="1">
        <f t="shared" si="23"/>
        <v>45.5</v>
      </c>
      <c r="G832" s="1">
        <v>57</v>
      </c>
      <c r="H832" s="1">
        <f t="shared" si="24"/>
        <v>49</v>
      </c>
      <c r="I832" s="1">
        <v>53</v>
      </c>
      <c r="J832" s="1">
        <f t="shared" si="25"/>
        <v>66.5</v>
      </c>
      <c r="M832" s="1">
        <v>12</v>
      </c>
      <c r="P832" s="1">
        <v>14</v>
      </c>
      <c r="Q832" s="1">
        <v>7</v>
      </c>
      <c r="R832" s="1">
        <v>3</v>
      </c>
      <c r="S832" s="1">
        <v>46</v>
      </c>
    </row>
    <row r="833" spans="1:19" x14ac:dyDescent="0.25">
      <c r="A833" s="12">
        <v>40507</v>
      </c>
      <c r="B833" s="14" t="s">
        <v>848</v>
      </c>
      <c r="C833" s="14"/>
      <c r="D833" s="14"/>
      <c r="E833" s="1">
        <v>36</v>
      </c>
      <c r="F833" s="1">
        <f t="shared" si="23"/>
        <v>43.25</v>
      </c>
      <c r="G833" s="1">
        <v>50</v>
      </c>
      <c r="H833" s="1">
        <f t="shared" si="24"/>
        <v>50.75</v>
      </c>
      <c r="I833" s="1">
        <v>63</v>
      </c>
      <c r="J833" s="1">
        <f t="shared" si="25"/>
        <v>62.25</v>
      </c>
      <c r="M833" s="2" t="s">
        <v>551</v>
      </c>
      <c r="P833" s="1">
        <v>10</v>
      </c>
      <c r="Q833" s="1">
        <v>6</v>
      </c>
      <c r="R833" s="1">
        <v>3</v>
      </c>
      <c r="S833" s="1">
        <v>47</v>
      </c>
    </row>
    <row r="834" spans="1:19" x14ac:dyDescent="0.25">
      <c r="A834" s="12">
        <v>40514</v>
      </c>
      <c r="B834" s="14" t="s">
        <v>849</v>
      </c>
      <c r="C834" s="14"/>
      <c r="D834" s="14"/>
      <c r="E834" s="1">
        <v>35</v>
      </c>
      <c r="F834" s="1">
        <f t="shared" si="23"/>
        <v>38.25</v>
      </c>
      <c r="G834" s="1">
        <v>48</v>
      </c>
      <c r="H834" s="1">
        <f t="shared" si="24"/>
        <v>48</v>
      </c>
      <c r="I834" s="1">
        <v>70</v>
      </c>
      <c r="J834" s="1">
        <f t="shared" si="25"/>
        <v>69.25</v>
      </c>
      <c r="M834" s="1">
        <v>24</v>
      </c>
      <c r="P834" s="1">
        <v>11</v>
      </c>
      <c r="Q834" s="1">
        <v>4</v>
      </c>
      <c r="R834" s="1">
        <v>2</v>
      </c>
      <c r="S834" s="1">
        <v>48</v>
      </c>
    </row>
    <row r="835" spans="1:19" x14ac:dyDescent="0.25">
      <c r="A835" s="12">
        <v>40521</v>
      </c>
      <c r="B835" s="14" t="s">
        <v>850</v>
      </c>
      <c r="C835" s="14"/>
      <c r="D835" s="14"/>
      <c r="E835" s="1">
        <v>35</v>
      </c>
      <c r="F835" s="1">
        <f t="shared" si="23"/>
        <v>41.25</v>
      </c>
      <c r="G835" s="1">
        <v>45</v>
      </c>
      <c r="H835" s="1">
        <f t="shared" si="24"/>
        <v>43.25</v>
      </c>
      <c r="I835" s="1">
        <v>74</v>
      </c>
      <c r="J835" s="1">
        <f t="shared" si="25"/>
        <v>59.25</v>
      </c>
      <c r="M835" s="1">
        <v>20</v>
      </c>
      <c r="P835" s="1">
        <v>13</v>
      </c>
      <c r="Q835" s="1">
        <v>5</v>
      </c>
      <c r="R835" s="1">
        <v>1</v>
      </c>
      <c r="S835" s="1">
        <v>49</v>
      </c>
    </row>
    <row r="836" spans="1:19" x14ac:dyDescent="0.25">
      <c r="A836" s="12">
        <v>40528</v>
      </c>
      <c r="B836" s="14" t="s">
        <v>851</v>
      </c>
      <c r="C836" s="14"/>
      <c r="D836" s="14"/>
      <c r="E836" s="1">
        <v>40</v>
      </c>
      <c r="F836" s="1">
        <f t="shared" si="23"/>
        <v>38</v>
      </c>
      <c r="G836" s="1">
        <v>49</v>
      </c>
      <c r="H836" s="1">
        <f t="shared" si="24"/>
        <v>38.5</v>
      </c>
      <c r="I836" s="1">
        <v>49</v>
      </c>
      <c r="J836" s="1">
        <f t="shared" si="25"/>
        <v>62.25</v>
      </c>
      <c r="M836" s="1">
        <v>21</v>
      </c>
      <c r="P836" s="1">
        <v>14</v>
      </c>
      <c r="Q836" s="1">
        <v>11</v>
      </c>
      <c r="R836" s="1">
        <v>5</v>
      </c>
      <c r="S836" s="1">
        <v>50</v>
      </c>
    </row>
    <row r="837" spans="1:19" x14ac:dyDescent="0.25">
      <c r="A837" s="12">
        <v>40535</v>
      </c>
      <c r="B837" s="14" t="s">
        <v>852</v>
      </c>
      <c r="C837" s="14"/>
      <c r="D837" s="14"/>
      <c r="E837" s="1">
        <v>34</v>
      </c>
      <c r="F837" s="1">
        <f t="shared" si="23"/>
        <v>38</v>
      </c>
      <c r="G837" s="1">
        <v>44</v>
      </c>
      <c r="H837" s="1">
        <f t="shared" si="24"/>
        <v>37.75</v>
      </c>
      <c r="I837" s="1">
        <v>46</v>
      </c>
      <c r="J837" s="1">
        <f t="shared" si="25"/>
        <v>65.5</v>
      </c>
      <c r="M837" s="1">
        <v>20</v>
      </c>
      <c r="P837" s="1">
        <v>10</v>
      </c>
      <c r="Q837" s="1">
        <v>6</v>
      </c>
      <c r="R837" s="1">
        <v>4</v>
      </c>
      <c r="S837" s="1">
        <v>51</v>
      </c>
    </row>
    <row r="838" spans="1:19" x14ac:dyDescent="0.25">
      <c r="A838" s="12">
        <v>40542</v>
      </c>
      <c r="B838" s="14" t="s">
        <v>853</v>
      </c>
      <c r="C838" s="14"/>
      <c r="D838" s="14"/>
      <c r="E838" s="1">
        <v>28</v>
      </c>
      <c r="F838" s="1">
        <f t="shared" si="23"/>
        <v>42.25</v>
      </c>
      <c r="G838" s="1">
        <v>42</v>
      </c>
      <c r="H838" s="1">
        <f t="shared" si="24"/>
        <v>40.75</v>
      </c>
      <c r="I838" s="1">
        <v>66</v>
      </c>
      <c r="J838" s="1">
        <f t="shared" si="25"/>
        <v>67</v>
      </c>
      <c r="M838" s="1">
        <v>21</v>
      </c>
      <c r="P838" s="1">
        <v>11</v>
      </c>
      <c r="Q838" s="1">
        <v>6</v>
      </c>
      <c r="R838" s="1">
        <v>8</v>
      </c>
      <c r="S838" s="1">
        <v>52</v>
      </c>
    </row>
    <row r="839" spans="1:19" x14ac:dyDescent="0.25">
      <c r="A839" s="12">
        <v>40549</v>
      </c>
      <c r="B839" s="14" t="s">
        <v>854</v>
      </c>
      <c r="C839" s="14"/>
      <c r="D839" s="14"/>
      <c r="E839" s="1">
        <v>39</v>
      </c>
      <c r="F839" s="1">
        <f t="shared" si="23"/>
        <v>38.5</v>
      </c>
      <c r="G839" s="1">
        <v>38</v>
      </c>
      <c r="H839" s="1">
        <f t="shared" si="24"/>
        <v>44.5</v>
      </c>
      <c r="I839" s="1">
        <v>75</v>
      </c>
      <c r="J839" s="1">
        <f t="shared" si="25"/>
        <v>69.5</v>
      </c>
      <c r="M839" s="1">
        <v>19</v>
      </c>
      <c r="P839" s="1">
        <v>13</v>
      </c>
      <c r="Q839" s="1">
        <v>6</v>
      </c>
      <c r="R839" s="1">
        <v>7</v>
      </c>
      <c r="S839" s="1">
        <v>1</v>
      </c>
    </row>
    <row r="840" spans="1:19" x14ac:dyDescent="0.25">
      <c r="A840" s="12">
        <v>40556</v>
      </c>
      <c r="B840" s="14" t="s">
        <v>855</v>
      </c>
      <c r="C840" s="14"/>
      <c r="D840" s="14"/>
      <c r="E840" s="1">
        <v>26</v>
      </c>
      <c r="F840" s="1">
        <f t="shared" si="23"/>
        <v>41.5</v>
      </c>
      <c r="G840" s="1">
        <v>50</v>
      </c>
      <c r="H840" s="1">
        <f t="shared" si="24"/>
        <v>44.5</v>
      </c>
      <c r="I840" s="1">
        <v>81</v>
      </c>
      <c r="J840" s="1">
        <f t="shared" si="25"/>
        <v>67</v>
      </c>
      <c r="M840" s="1">
        <v>15</v>
      </c>
      <c r="P840" s="2" t="s">
        <v>551</v>
      </c>
      <c r="Q840" s="2" t="s">
        <v>551</v>
      </c>
      <c r="R840" s="2" t="s">
        <v>551</v>
      </c>
      <c r="S840" s="1">
        <v>2</v>
      </c>
    </row>
    <row r="841" spans="1:19" x14ac:dyDescent="0.25">
      <c r="A841" s="12">
        <v>40563</v>
      </c>
      <c r="B841" s="14" t="s">
        <v>856</v>
      </c>
      <c r="C841" s="14"/>
      <c r="D841" s="14"/>
      <c r="E841" s="1">
        <v>37</v>
      </c>
      <c r="F841" s="1">
        <f t="shared" si="23"/>
        <v>44.75</v>
      </c>
      <c r="G841" s="1">
        <v>46</v>
      </c>
      <c r="H841" s="1">
        <f t="shared" si="24"/>
        <v>48.75</v>
      </c>
      <c r="I841" s="1">
        <v>76</v>
      </c>
      <c r="J841" s="1">
        <f t="shared" si="25"/>
        <v>72</v>
      </c>
      <c r="M841" s="1">
        <v>17</v>
      </c>
      <c r="P841" s="1">
        <v>13</v>
      </c>
      <c r="Q841" s="2" t="s">
        <v>551</v>
      </c>
      <c r="R841" s="1">
        <v>9</v>
      </c>
      <c r="S841" s="1">
        <v>3</v>
      </c>
    </row>
    <row r="842" spans="1:19" x14ac:dyDescent="0.25">
      <c r="A842" s="12">
        <v>40570</v>
      </c>
      <c r="B842" s="14" t="s">
        <v>857</v>
      </c>
      <c r="C842" s="14"/>
      <c r="D842" s="14"/>
      <c r="E842" s="1">
        <v>45</v>
      </c>
      <c r="F842" s="1">
        <f t="shared" si="23"/>
        <v>48</v>
      </c>
      <c r="G842" s="1">
        <v>49</v>
      </c>
      <c r="H842" s="1">
        <f t="shared" si="24"/>
        <v>48.25</v>
      </c>
      <c r="I842" s="1">
        <v>83</v>
      </c>
      <c r="J842" s="1">
        <f t="shared" si="25"/>
        <v>76</v>
      </c>
      <c r="M842" s="1">
        <v>17</v>
      </c>
      <c r="P842" s="1">
        <v>17</v>
      </c>
      <c r="Q842" s="1">
        <v>6</v>
      </c>
      <c r="R842" s="1">
        <v>3</v>
      </c>
      <c r="S842" s="1">
        <v>4</v>
      </c>
    </row>
    <row r="843" spans="1:19" x14ac:dyDescent="0.25">
      <c r="A843" s="12">
        <v>40577</v>
      </c>
      <c r="B843" s="14" t="s">
        <v>858</v>
      </c>
      <c r="C843" s="14"/>
      <c r="D843" s="14"/>
      <c r="E843" s="1">
        <v>58</v>
      </c>
      <c r="F843" s="1">
        <f t="shared" si="23"/>
        <v>53.25</v>
      </c>
      <c r="G843" s="1">
        <v>44</v>
      </c>
      <c r="H843" s="1">
        <f t="shared" si="24"/>
        <v>48.5</v>
      </c>
      <c r="I843" s="1">
        <v>73</v>
      </c>
      <c r="J843" s="1">
        <f t="shared" si="25"/>
        <v>71</v>
      </c>
      <c r="M843" s="1">
        <v>18</v>
      </c>
      <c r="P843" s="1">
        <v>15</v>
      </c>
      <c r="Q843" s="1">
        <v>9</v>
      </c>
      <c r="R843" s="1">
        <v>1</v>
      </c>
      <c r="S843" s="1">
        <v>5</v>
      </c>
    </row>
    <row r="844" spans="1:19" x14ac:dyDescent="0.25">
      <c r="A844" s="12">
        <v>40584</v>
      </c>
      <c r="B844" s="14" t="s">
        <v>859</v>
      </c>
      <c r="C844" s="14"/>
      <c r="D844" s="14"/>
      <c r="E844" s="1">
        <v>59</v>
      </c>
      <c r="F844" s="1">
        <f t="shared" si="23"/>
        <v>51.25</v>
      </c>
      <c r="G844" s="1">
        <v>53</v>
      </c>
      <c r="H844" s="1">
        <f t="shared" si="24"/>
        <v>45.75</v>
      </c>
      <c r="I844" s="1">
        <v>78</v>
      </c>
      <c r="J844" s="1">
        <f t="shared" si="25"/>
        <v>66.5</v>
      </c>
      <c r="M844" s="1">
        <v>19</v>
      </c>
      <c r="P844" s="1">
        <v>13</v>
      </c>
      <c r="Q844" s="1">
        <v>9</v>
      </c>
      <c r="R844" s="1">
        <v>3</v>
      </c>
      <c r="S844" s="1">
        <v>6</v>
      </c>
    </row>
    <row r="845" spans="1:19" x14ac:dyDescent="0.25">
      <c r="A845" s="12">
        <v>40591</v>
      </c>
      <c r="B845" s="14" t="s">
        <v>860</v>
      </c>
      <c r="C845" s="14"/>
      <c r="D845" s="14"/>
      <c r="E845" s="1">
        <v>60</v>
      </c>
      <c r="F845" s="1">
        <f t="shared" si="23"/>
        <v>51.5</v>
      </c>
      <c r="G845" s="1">
        <v>52</v>
      </c>
      <c r="H845" s="1">
        <f t="shared" si="24"/>
        <v>43.5</v>
      </c>
      <c r="I845" s="1">
        <v>75</v>
      </c>
      <c r="J845" s="1">
        <f t="shared" si="25"/>
        <v>60.25</v>
      </c>
      <c r="M845" s="1">
        <v>22</v>
      </c>
      <c r="P845" s="1">
        <v>17</v>
      </c>
      <c r="Q845" s="1">
        <v>8</v>
      </c>
      <c r="R845" s="1">
        <v>3</v>
      </c>
      <c r="S845" s="1">
        <v>7</v>
      </c>
    </row>
    <row r="846" spans="1:19" x14ac:dyDescent="0.25">
      <c r="A846" s="12">
        <v>40598</v>
      </c>
      <c r="B846" s="14" t="s">
        <v>861</v>
      </c>
      <c r="C846" s="14"/>
      <c r="D846" s="14"/>
      <c r="E846" s="1">
        <v>63</v>
      </c>
      <c r="F846" s="1">
        <f t="shared" si="23"/>
        <v>47.5</v>
      </c>
      <c r="G846" s="1">
        <v>44</v>
      </c>
      <c r="H846" s="1">
        <f t="shared" si="24"/>
        <v>46.75</v>
      </c>
      <c r="I846" s="1">
        <v>71</v>
      </c>
      <c r="J846" s="1">
        <f t="shared" si="25"/>
        <v>62.75</v>
      </c>
      <c r="M846" s="1">
        <v>19</v>
      </c>
      <c r="P846" s="1">
        <v>17</v>
      </c>
      <c r="Q846" s="1">
        <v>8</v>
      </c>
      <c r="R846" s="1">
        <v>0</v>
      </c>
      <c r="S846" s="1">
        <v>8</v>
      </c>
    </row>
    <row r="847" spans="1:19" x14ac:dyDescent="0.25">
      <c r="A847" s="12">
        <v>40605</v>
      </c>
      <c r="B847" s="14" t="s">
        <v>862</v>
      </c>
      <c r="C847" s="14"/>
      <c r="D847" s="14"/>
      <c r="E847" s="1">
        <v>65</v>
      </c>
      <c r="F847" s="1">
        <f t="shared" si="23"/>
        <v>46.25</v>
      </c>
      <c r="G847" s="1">
        <v>52</v>
      </c>
      <c r="H847" s="1">
        <f t="shared" si="24"/>
        <v>43.75</v>
      </c>
      <c r="I847" s="1">
        <v>76</v>
      </c>
      <c r="J847" s="1">
        <f t="shared" si="25"/>
        <v>63.75</v>
      </c>
      <c r="M847" s="1">
        <v>20</v>
      </c>
      <c r="P847" s="1">
        <v>12</v>
      </c>
      <c r="Q847" s="1">
        <v>10</v>
      </c>
      <c r="R847" s="1">
        <v>3</v>
      </c>
      <c r="S847" s="1">
        <v>9</v>
      </c>
    </row>
    <row r="848" spans="1:19" x14ac:dyDescent="0.25">
      <c r="A848" s="12">
        <v>40612</v>
      </c>
      <c r="B848" s="14" t="s">
        <v>863</v>
      </c>
      <c r="C848" s="14"/>
      <c r="D848" s="14"/>
      <c r="E848" s="1">
        <v>61</v>
      </c>
      <c r="F848" s="1">
        <f t="shared" si="23"/>
        <v>43.25</v>
      </c>
      <c r="G848" s="1">
        <v>49</v>
      </c>
      <c r="H848" s="1">
        <f t="shared" si="24"/>
        <v>42</v>
      </c>
      <c r="I848" s="1">
        <v>74</v>
      </c>
      <c r="J848" s="1">
        <f t="shared" si="25"/>
        <v>56.75</v>
      </c>
      <c r="M848" s="1">
        <v>19</v>
      </c>
      <c r="P848" s="1">
        <v>11</v>
      </c>
      <c r="Q848" s="1">
        <v>0</v>
      </c>
      <c r="R848" s="1">
        <v>7</v>
      </c>
      <c r="S848" s="1">
        <v>10</v>
      </c>
    </row>
    <row r="849" spans="1:19" x14ac:dyDescent="0.25">
      <c r="A849" s="12">
        <v>40619</v>
      </c>
      <c r="B849" s="14" t="s">
        <v>864</v>
      </c>
      <c r="C849" s="14"/>
      <c r="D849" s="14"/>
      <c r="E849" s="1">
        <v>59</v>
      </c>
      <c r="F849" s="1">
        <f t="shared" si="23"/>
        <v>40</v>
      </c>
      <c r="G849" s="1">
        <v>54</v>
      </c>
      <c r="H849" s="1">
        <f t="shared" si="24"/>
        <v>42</v>
      </c>
      <c r="I849" s="1">
        <v>60</v>
      </c>
      <c r="J849" s="1">
        <f t="shared" si="25"/>
        <v>48</v>
      </c>
      <c r="M849" s="1">
        <v>21</v>
      </c>
      <c r="P849" s="1">
        <v>14</v>
      </c>
      <c r="Q849" s="1">
        <v>7</v>
      </c>
      <c r="R849" s="1">
        <v>6</v>
      </c>
      <c r="S849" s="1">
        <v>11</v>
      </c>
    </row>
    <row r="850" spans="1:19" x14ac:dyDescent="0.25">
      <c r="A850" s="12">
        <v>40626</v>
      </c>
      <c r="B850" s="14" t="s">
        <v>865</v>
      </c>
      <c r="C850" s="14"/>
      <c r="D850" s="14"/>
      <c r="E850" s="1">
        <v>50</v>
      </c>
      <c r="F850" s="1">
        <f t="shared" si="23"/>
        <v>31</v>
      </c>
      <c r="G850" s="1">
        <v>44</v>
      </c>
      <c r="H850" s="1">
        <f t="shared" si="24"/>
        <v>41.75</v>
      </c>
      <c r="I850" s="1">
        <v>60</v>
      </c>
      <c r="J850" s="1">
        <f t="shared" si="25"/>
        <v>49.5</v>
      </c>
      <c r="M850" s="1">
        <v>21</v>
      </c>
      <c r="P850" s="1">
        <v>0</v>
      </c>
      <c r="Q850" s="2" t="s">
        <v>551</v>
      </c>
      <c r="R850" s="1">
        <v>5</v>
      </c>
      <c r="S850" s="1">
        <v>12</v>
      </c>
    </row>
    <row r="851" spans="1:19" x14ac:dyDescent="0.25">
      <c r="A851" s="12">
        <v>40633</v>
      </c>
      <c r="B851" s="14" t="s">
        <v>866</v>
      </c>
      <c r="C851" s="14"/>
      <c r="D851" s="14"/>
      <c r="E851" s="1">
        <v>42</v>
      </c>
      <c r="F851" s="1">
        <f t="shared" ref="F851:F914" si="26">AVERAGE(E799,E747,E695,E643)</f>
        <v>26.25</v>
      </c>
      <c r="G851" s="1">
        <v>51</v>
      </c>
      <c r="H851" s="1">
        <f t="shared" ref="H851:H914" si="27">AVERAGE(G799,G747,G695,G643)</f>
        <v>38.5</v>
      </c>
      <c r="I851" s="1">
        <v>50</v>
      </c>
      <c r="J851" s="1">
        <f t="shared" ref="J851:J914" si="28">AVERAGE(I799,I747,I695,I643)</f>
        <v>47.75</v>
      </c>
      <c r="M851" s="1">
        <v>20</v>
      </c>
      <c r="P851" s="1">
        <v>18</v>
      </c>
      <c r="Q851" s="1">
        <v>7</v>
      </c>
      <c r="R851" s="1">
        <v>4</v>
      </c>
      <c r="S851" s="1">
        <v>13</v>
      </c>
    </row>
    <row r="852" spans="1:19" x14ac:dyDescent="0.25">
      <c r="A852" s="12">
        <v>40640</v>
      </c>
      <c r="B852" s="14" t="s">
        <v>867</v>
      </c>
      <c r="C852" s="14"/>
      <c r="D852" s="14"/>
      <c r="E852" s="1">
        <v>40</v>
      </c>
      <c r="F852" s="1">
        <f t="shared" si="26"/>
        <v>25.5</v>
      </c>
      <c r="G852" s="1">
        <v>48</v>
      </c>
      <c r="H852" s="1">
        <f t="shared" si="27"/>
        <v>34.5</v>
      </c>
      <c r="I852" s="1">
        <v>49</v>
      </c>
      <c r="J852" s="1">
        <f t="shared" si="28"/>
        <v>46.75</v>
      </c>
      <c r="M852" s="1">
        <v>21</v>
      </c>
      <c r="P852" s="1">
        <v>15</v>
      </c>
      <c r="Q852" s="1">
        <v>5</v>
      </c>
      <c r="R852" s="1">
        <v>8</v>
      </c>
      <c r="S852" s="1">
        <v>14</v>
      </c>
    </row>
    <row r="853" spans="1:19" x14ac:dyDescent="0.25">
      <c r="A853" s="12">
        <v>40647</v>
      </c>
      <c r="B853" s="14" t="s">
        <v>868</v>
      </c>
      <c r="C853" s="14"/>
      <c r="D853" s="14"/>
      <c r="E853" s="1">
        <v>28</v>
      </c>
      <c r="F853" s="1">
        <f t="shared" si="26"/>
        <v>28.75</v>
      </c>
      <c r="G853" s="1">
        <v>41</v>
      </c>
      <c r="H853" s="1">
        <f t="shared" si="27"/>
        <v>36</v>
      </c>
      <c r="I853" s="1">
        <v>42</v>
      </c>
      <c r="J853" s="1">
        <f t="shared" si="28"/>
        <v>45</v>
      </c>
      <c r="M853" s="1">
        <v>25</v>
      </c>
      <c r="P853" s="1">
        <v>17</v>
      </c>
      <c r="Q853" s="1">
        <v>6</v>
      </c>
      <c r="R853" s="1">
        <v>5</v>
      </c>
      <c r="S853" s="1">
        <v>15</v>
      </c>
    </row>
    <row r="854" spans="1:19" x14ac:dyDescent="0.25">
      <c r="A854" s="12">
        <v>40654</v>
      </c>
      <c r="B854" s="14" t="s">
        <v>869</v>
      </c>
      <c r="C854" s="14"/>
      <c r="D854" s="14"/>
      <c r="E854" s="1">
        <v>28</v>
      </c>
      <c r="F854" s="1">
        <f t="shared" si="26"/>
        <v>25.5</v>
      </c>
      <c r="G854" s="1">
        <v>35</v>
      </c>
      <c r="H854" s="1">
        <f t="shared" si="27"/>
        <v>34.75</v>
      </c>
      <c r="I854" s="1">
        <v>44</v>
      </c>
      <c r="J854" s="1">
        <f t="shared" si="28"/>
        <v>46</v>
      </c>
      <c r="M854" s="1">
        <v>22</v>
      </c>
      <c r="P854" s="1">
        <v>14</v>
      </c>
      <c r="Q854" s="1">
        <v>9</v>
      </c>
      <c r="R854" s="1">
        <v>5</v>
      </c>
      <c r="S854" s="1">
        <v>16</v>
      </c>
    </row>
    <row r="855" spans="1:19" x14ac:dyDescent="0.25">
      <c r="A855" s="12">
        <v>40661</v>
      </c>
      <c r="B855" s="14" t="s">
        <v>870</v>
      </c>
      <c r="C855" s="14"/>
      <c r="D855" s="14"/>
      <c r="E855" s="1">
        <v>31</v>
      </c>
      <c r="F855" s="1">
        <f t="shared" si="26"/>
        <v>22.75</v>
      </c>
      <c r="G855" s="1">
        <v>33</v>
      </c>
      <c r="H855" s="1">
        <f t="shared" si="27"/>
        <v>34.25</v>
      </c>
      <c r="I855" s="1">
        <v>47</v>
      </c>
      <c r="J855" s="1">
        <f t="shared" si="28"/>
        <v>50.5</v>
      </c>
      <c r="M855" s="1">
        <v>22</v>
      </c>
      <c r="P855" s="1">
        <v>16</v>
      </c>
      <c r="Q855" s="1">
        <v>7</v>
      </c>
      <c r="R855" s="1">
        <v>4</v>
      </c>
      <c r="S855" s="1">
        <v>17</v>
      </c>
    </row>
    <row r="856" spans="1:19" x14ac:dyDescent="0.25">
      <c r="A856" s="12">
        <v>40668</v>
      </c>
      <c r="B856" s="14" t="s">
        <v>871</v>
      </c>
      <c r="C856" s="14"/>
      <c r="D856" s="14"/>
      <c r="E856" s="1">
        <v>32</v>
      </c>
      <c r="F856" s="1">
        <f t="shared" si="26"/>
        <v>23</v>
      </c>
      <c r="G856" s="1">
        <v>32</v>
      </c>
      <c r="H856" s="1">
        <f t="shared" si="27"/>
        <v>31.5</v>
      </c>
      <c r="I856" s="1">
        <v>45</v>
      </c>
      <c r="J856" s="1">
        <f t="shared" si="28"/>
        <v>45</v>
      </c>
      <c r="M856" s="1">
        <v>22</v>
      </c>
      <c r="P856" s="1">
        <v>12</v>
      </c>
      <c r="Q856" s="1">
        <v>14</v>
      </c>
      <c r="R856" s="1">
        <v>3</v>
      </c>
      <c r="S856" s="1">
        <v>18</v>
      </c>
    </row>
    <row r="857" spans="1:19" x14ac:dyDescent="0.25">
      <c r="A857" s="12">
        <v>40675</v>
      </c>
      <c r="B857" s="14" t="s">
        <v>872</v>
      </c>
      <c r="C857" s="14"/>
      <c r="D857" s="14"/>
      <c r="E857" s="1">
        <v>25</v>
      </c>
      <c r="F857" s="1">
        <f t="shared" si="26"/>
        <v>21.75</v>
      </c>
      <c r="G857" s="1">
        <v>35</v>
      </c>
      <c r="H857" s="1">
        <f t="shared" si="27"/>
        <v>35</v>
      </c>
      <c r="I857" s="1">
        <v>48</v>
      </c>
      <c r="J857" s="1">
        <f t="shared" si="28"/>
        <v>50.75</v>
      </c>
      <c r="M857" s="1">
        <v>18</v>
      </c>
      <c r="P857" s="1">
        <v>15</v>
      </c>
      <c r="Q857" s="1">
        <v>6</v>
      </c>
      <c r="R857" s="1">
        <v>4</v>
      </c>
      <c r="S857" s="1">
        <v>19</v>
      </c>
    </row>
    <row r="858" spans="1:19" x14ac:dyDescent="0.25">
      <c r="A858" s="12">
        <v>40682</v>
      </c>
      <c r="B858" s="14" t="s">
        <v>873</v>
      </c>
      <c r="C858" s="14"/>
      <c r="D858" s="14"/>
      <c r="E858" s="1">
        <v>33</v>
      </c>
      <c r="F858" s="1">
        <f t="shared" si="26"/>
        <v>20.25</v>
      </c>
      <c r="G858" s="1">
        <v>31</v>
      </c>
      <c r="H858" s="1">
        <f t="shared" si="27"/>
        <v>36.5</v>
      </c>
      <c r="I858" s="1">
        <v>42</v>
      </c>
      <c r="J858" s="1">
        <f t="shared" si="28"/>
        <v>47.5</v>
      </c>
      <c r="M858" s="1">
        <v>13</v>
      </c>
      <c r="P858" s="1">
        <v>20</v>
      </c>
      <c r="Q858" s="1">
        <v>3</v>
      </c>
      <c r="R858" s="1">
        <v>2</v>
      </c>
      <c r="S858" s="1">
        <v>20</v>
      </c>
    </row>
    <row r="859" spans="1:19" x14ac:dyDescent="0.25">
      <c r="A859" s="12">
        <v>40689</v>
      </c>
      <c r="B859" s="14" t="s">
        <v>874</v>
      </c>
      <c r="C859" s="14"/>
      <c r="D859" s="14"/>
      <c r="E859" s="1">
        <v>27</v>
      </c>
      <c r="F859" s="1">
        <f t="shared" si="26"/>
        <v>26</v>
      </c>
      <c r="G859" s="1">
        <v>33</v>
      </c>
      <c r="H859" s="1">
        <f t="shared" si="27"/>
        <v>33.25</v>
      </c>
      <c r="I859" s="1">
        <v>41</v>
      </c>
      <c r="J859" s="1">
        <f t="shared" si="28"/>
        <v>46</v>
      </c>
      <c r="M859" s="1">
        <v>13</v>
      </c>
      <c r="P859" s="1">
        <v>15</v>
      </c>
      <c r="Q859" s="1">
        <v>9</v>
      </c>
      <c r="R859" s="1">
        <v>2</v>
      </c>
      <c r="S859" s="1">
        <v>21</v>
      </c>
    </row>
    <row r="860" spans="1:19" x14ac:dyDescent="0.25">
      <c r="A860" s="12">
        <v>40696</v>
      </c>
      <c r="B860" s="14" t="s">
        <v>875</v>
      </c>
      <c r="C860" s="14"/>
      <c r="D860" s="14"/>
      <c r="E860" s="1">
        <v>22</v>
      </c>
      <c r="F860" s="1">
        <f t="shared" si="26"/>
        <v>22.75</v>
      </c>
      <c r="G860" s="1">
        <v>31</v>
      </c>
      <c r="H860" s="1">
        <f t="shared" si="27"/>
        <v>33.75</v>
      </c>
      <c r="I860" s="1">
        <v>42</v>
      </c>
      <c r="J860" s="1">
        <f t="shared" si="28"/>
        <v>45.5</v>
      </c>
      <c r="M860" s="1">
        <v>19</v>
      </c>
      <c r="P860" s="1">
        <v>16</v>
      </c>
      <c r="Q860" s="1">
        <v>10</v>
      </c>
      <c r="R860" s="1">
        <v>2</v>
      </c>
      <c r="S860" s="1">
        <v>22</v>
      </c>
    </row>
    <row r="861" spans="1:19" x14ac:dyDescent="0.25">
      <c r="A861" s="12">
        <v>40703</v>
      </c>
      <c r="B861" s="14" t="s">
        <v>876</v>
      </c>
      <c r="C861" s="14"/>
      <c r="D861" s="14"/>
      <c r="E861" s="1">
        <v>23</v>
      </c>
      <c r="F861" s="1">
        <f t="shared" si="26"/>
        <v>20</v>
      </c>
      <c r="G861" s="1">
        <v>28</v>
      </c>
      <c r="H861" s="1">
        <f t="shared" si="27"/>
        <v>35.5</v>
      </c>
      <c r="I861" s="1">
        <v>37</v>
      </c>
      <c r="J861" s="1">
        <f t="shared" si="28"/>
        <v>50</v>
      </c>
      <c r="M861" s="1">
        <v>19</v>
      </c>
      <c r="P861" s="1">
        <v>13</v>
      </c>
      <c r="Q861" s="1">
        <v>11</v>
      </c>
      <c r="R861" s="1">
        <v>2</v>
      </c>
      <c r="S861" s="1">
        <v>23</v>
      </c>
    </row>
    <row r="862" spans="1:19" x14ac:dyDescent="0.25">
      <c r="A862" s="12">
        <v>40710</v>
      </c>
      <c r="B862" s="14" t="s">
        <v>877</v>
      </c>
      <c r="C862" s="14"/>
      <c r="D862" s="14"/>
      <c r="E862" s="1">
        <v>23</v>
      </c>
      <c r="F862" s="1">
        <f t="shared" si="26"/>
        <v>21.75</v>
      </c>
      <c r="G862" s="1">
        <v>30</v>
      </c>
      <c r="H862" s="1">
        <f t="shared" si="27"/>
        <v>36</v>
      </c>
      <c r="I862" s="1">
        <v>34</v>
      </c>
      <c r="J862" s="1">
        <f t="shared" si="28"/>
        <v>49.75</v>
      </c>
      <c r="M862" s="1">
        <v>17</v>
      </c>
      <c r="P862" s="1">
        <v>11</v>
      </c>
      <c r="Q862" s="1">
        <v>9</v>
      </c>
      <c r="R862" s="1">
        <v>2</v>
      </c>
      <c r="S862" s="1">
        <v>24</v>
      </c>
    </row>
    <row r="863" spans="1:19" x14ac:dyDescent="0.25">
      <c r="A863" s="12">
        <v>40717</v>
      </c>
      <c r="B863" s="14" t="s">
        <v>878</v>
      </c>
      <c r="C863" s="14"/>
      <c r="D863" s="14"/>
      <c r="E863" s="1">
        <v>24</v>
      </c>
      <c r="F863" s="1">
        <f t="shared" si="26"/>
        <v>21.75</v>
      </c>
      <c r="G863" s="1">
        <v>31</v>
      </c>
      <c r="H863" s="1">
        <f t="shared" si="27"/>
        <v>33.5</v>
      </c>
      <c r="I863" s="1">
        <v>46</v>
      </c>
      <c r="J863" s="1">
        <f t="shared" si="28"/>
        <v>57</v>
      </c>
      <c r="M863" s="1">
        <v>20</v>
      </c>
      <c r="P863" s="1">
        <v>10</v>
      </c>
      <c r="Q863" s="1">
        <v>5</v>
      </c>
      <c r="R863" s="1">
        <v>5</v>
      </c>
      <c r="S863" s="1">
        <v>25</v>
      </c>
    </row>
    <row r="864" spans="1:19" x14ac:dyDescent="0.25">
      <c r="A864" s="12">
        <v>40724</v>
      </c>
      <c r="B864" s="14" t="s">
        <v>879</v>
      </c>
      <c r="C864" s="14"/>
      <c r="D864" s="14"/>
      <c r="E864" s="1">
        <v>28</v>
      </c>
      <c r="F864" s="1">
        <f t="shared" si="26"/>
        <v>24.75</v>
      </c>
      <c r="G864" s="1">
        <v>38</v>
      </c>
      <c r="H864" s="1">
        <f t="shared" si="27"/>
        <v>34.75</v>
      </c>
      <c r="I864" s="1">
        <v>44</v>
      </c>
      <c r="J864" s="1">
        <f t="shared" si="28"/>
        <v>55</v>
      </c>
      <c r="M864" s="1">
        <v>14</v>
      </c>
      <c r="P864" s="1">
        <v>10</v>
      </c>
      <c r="Q864" s="1">
        <v>7</v>
      </c>
      <c r="R864" s="1">
        <v>3</v>
      </c>
      <c r="S864" s="1">
        <v>26</v>
      </c>
    </row>
    <row r="865" spans="1:19" x14ac:dyDescent="0.25">
      <c r="A865" s="12">
        <v>40731</v>
      </c>
      <c r="B865" s="14" t="s">
        <v>880</v>
      </c>
      <c r="C865" s="14"/>
      <c r="D865" s="14"/>
      <c r="E865" s="1">
        <v>25</v>
      </c>
      <c r="F865" s="1">
        <f t="shared" si="26"/>
        <v>27</v>
      </c>
      <c r="G865" s="1">
        <v>30</v>
      </c>
      <c r="H865" s="1">
        <f t="shared" si="27"/>
        <v>35.5</v>
      </c>
      <c r="I865" s="1">
        <v>40</v>
      </c>
      <c r="J865" s="1">
        <f t="shared" si="28"/>
        <v>55.75</v>
      </c>
      <c r="M865" s="1">
        <v>11</v>
      </c>
      <c r="P865" s="1">
        <v>12</v>
      </c>
      <c r="Q865" s="2" t="s">
        <v>551</v>
      </c>
      <c r="R865" s="1">
        <v>5</v>
      </c>
      <c r="S865" s="1">
        <v>27</v>
      </c>
    </row>
    <row r="866" spans="1:19" x14ac:dyDescent="0.25">
      <c r="A866" s="12">
        <v>40738</v>
      </c>
      <c r="B866" s="14" t="s">
        <v>881</v>
      </c>
      <c r="C866" s="14"/>
      <c r="D866" s="14"/>
      <c r="E866" s="1">
        <v>16</v>
      </c>
      <c r="F866" s="1">
        <f t="shared" si="26"/>
        <v>27.75</v>
      </c>
      <c r="G866" s="1">
        <v>35</v>
      </c>
      <c r="H866" s="1">
        <f t="shared" si="27"/>
        <v>37.5</v>
      </c>
      <c r="I866" s="1">
        <v>51</v>
      </c>
      <c r="J866" s="1">
        <f t="shared" si="28"/>
        <v>55.25</v>
      </c>
      <c r="M866" s="1">
        <v>10</v>
      </c>
      <c r="P866" s="1">
        <v>12</v>
      </c>
      <c r="Q866" s="1">
        <v>5</v>
      </c>
      <c r="R866" s="1">
        <v>2</v>
      </c>
      <c r="S866" s="1">
        <v>28</v>
      </c>
    </row>
    <row r="867" spans="1:19" x14ac:dyDescent="0.25">
      <c r="A867" s="12">
        <v>40745</v>
      </c>
      <c r="B867" s="14" t="s">
        <v>882</v>
      </c>
      <c r="C867" s="14"/>
      <c r="D867" s="14"/>
      <c r="E867" s="1">
        <v>17</v>
      </c>
      <c r="F867" s="1">
        <f t="shared" si="26"/>
        <v>28.25</v>
      </c>
      <c r="G867" s="1">
        <v>34</v>
      </c>
      <c r="H867" s="1">
        <f t="shared" si="27"/>
        <v>45.5</v>
      </c>
      <c r="I867" s="1">
        <v>43</v>
      </c>
      <c r="J867" s="1">
        <f t="shared" si="28"/>
        <v>54.5</v>
      </c>
      <c r="M867" s="1">
        <v>9</v>
      </c>
      <c r="P867" s="1">
        <v>8</v>
      </c>
      <c r="Q867" s="1">
        <v>5</v>
      </c>
      <c r="R867" s="1">
        <v>2</v>
      </c>
      <c r="S867" s="1">
        <v>29</v>
      </c>
    </row>
    <row r="868" spans="1:19" x14ac:dyDescent="0.25">
      <c r="A868" s="12">
        <v>40752</v>
      </c>
      <c r="B868" s="14" t="s">
        <v>883</v>
      </c>
      <c r="C868" s="14"/>
      <c r="D868" s="14"/>
      <c r="E868" s="1">
        <v>17</v>
      </c>
      <c r="F868" s="1">
        <f t="shared" si="26"/>
        <v>32.25</v>
      </c>
      <c r="G868" s="1">
        <v>30</v>
      </c>
      <c r="H868" s="1">
        <f t="shared" si="27"/>
        <v>40.25</v>
      </c>
      <c r="I868" s="1">
        <v>49</v>
      </c>
      <c r="J868" s="1">
        <f t="shared" si="28"/>
        <v>60.5</v>
      </c>
      <c r="M868" s="1">
        <v>10</v>
      </c>
      <c r="P868" s="1">
        <v>5</v>
      </c>
      <c r="Q868" s="1">
        <v>6</v>
      </c>
      <c r="R868" s="1">
        <v>1</v>
      </c>
      <c r="S868" s="1">
        <v>30</v>
      </c>
    </row>
    <row r="869" spans="1:19" x14ac:dyDescent="0.25">
      <c r="A869" s="12">
        <v>40759</v>
      </c>
      <c r="B869" s="14" t="s">
        <v>884</v>
      </c>
      <c r="C869" s="14"/>
      <c r="D869" s="14"/>
      <c r="E869" s="1">
        <v>23</v>
      </c>
      <c r="F869" s="1">
        <f t="shared" si="26"/>
        <v>32.25</v>
      </c>
      <c r="G869" s="1">
        <v>34</v>
      </c>
      <c r="H869" s="1">
        <f t="shared" si="27"/>
        <v>40</v>
      </c>
      <c r="I869" s="1">
        <v>41</v>
      </c>
      <c r="J869" s="1">
        <f t="shared" si="28"/>
        <v>61.75</v>
      </c>
      <c r="M869" s="1">
        <v>10</v>
      </c>
      <c r="P869" s="1">
        <v>5</v>
      </c>
      <c r="Q869" s="1">
        <v>5</v>
      </c>
      <c r="R869" s="1">
        <v>2</v>
      </c>
      <c r="S869" s="1">
        <v>31</v>
      </c>
    </row>
    <row r="870" spans="1:19" x14ac:dyDescent="0.25">
      <c r="A870" s="12">
        <v>40766</v>
      </c>
      <c r="B870" s="14" t="s">
        <v>885</v>
      </c>
      <c r="C870" s="14"/>
      <c r="D870" s="14"/>
      <c r="E870" s="1">
        <v>16</v>
      </c>
      <c r="F870" s="1">
        <f t="shared" si="26"/>
        <v>35.25</v>
      </c>
      <c r="G870" s="1">
        <v>33</v>
      </c>
      <c r="H870" s="1">
        <f t="shared" si="27"/>
        <v>44</v>
      </c>
      <c r="I870" s="1">
        <v>42</v>
      </c>
      <c r="J870" s="1">
        <f t="shared" si="28"/>
        <v>60.25</v>
      </c>
      <c r="M870" s="1">
        <v>7</v>
      </c>
      <c r="P870" s="1">
        <v>7</v>
      </c>
      <c r="Q870" s="1">
        <v>4</v>
      </c>
      <c r="R870" s="1">
        <v>4</v>
      </c>
      <c r="S870" s="1">
        <v>32</v>
      </c>
    </row>
    <row r="871" spans="1:19" x14ac:dyDescent="0.25">
      <c r="A871" s="12">
        <v>40773</v>
      </c>
      <c r="B871" s="14" t="s">
        <v>886</v>
      </c>
      <c r="C871" s="14"/>
      <c r="D871" s="14"/>
      <c r="E871" s="1">
        <v>26</v>
      </c>
      <c r="F871" s="1">
        <f t="shared" si="26"/>
        <v>38</v>
      </c>
      <c r="G871" s="1">
        <v>30</v>
      </c>
      <c r="H871" s="1">
        <f t="shared" si="27"/>
        <v>42.5</v>
      </c>
      <c r="I871" s="1">
        <v>34</v>
      </c>
      <c r="J871" s="1">
        <f t="shared" si="28"/>
        <v>59.5</v>
      </c>
      <c r="M871" s="1">
        <v>13</v>
      </c>
      <c r="P871" s="1">
        <v>8</v>
      </c>
      <c r="Q871" s="2" t="s">
        <v>551</v>
      </c>
      <c r="R871" s="1">
        <v>3</v>
      </c>
      <c r="S871" s="1">
        <v>33</v>
      </c>
    </row>
    <row r="872" spans="1:19" x14ac:dyDescent="0.25">
      <c r="A872" s="12">
        <v>40780</v>
      </c>
      <c r="B872" s="14" t="s">
        <v>887</v>
      </c>
      <c r="C872" s="14"/>
      <c r="D872" s="14"/>
      <c r="E872" s="1">
        <v>14</v>
      </c>
      <c r="F872" s="1">
        <f t="shared" si="26"/>
        <v>40.75</v>
      </c>
      <c r="G872" s="1">
        <v>33</v>
      </c>
      <c r="H872" s="1">
        <f t="shared" si="27"/>
        <v>45</v>
      </c>
      <c r="I872" s="1">
        <v>40</v>
      </c>
      <c r="J872" s="1">
        <f t="shared" si="28"/>
        <v>59</v>
      </c>
      <c r="M872" s="1">
        <v>5</v>
      </c>
      <c r="P872" s="1">
        <v>7</v>
      </c>
      <c r="Q872" s="1">
        <v>7</v>
      </c>
      <c r="R872" s="1">
        <v>2</v>
      </c>
      <c r="S872" s="1">
        <v>34</v>
      </c>
    </row>
    <row r="873" spans="1:19" x14ac:dyDescent="0.25">
      <c r="A873" s="12">
        <v>40787</v>
      </c>
      <c r="B873" s="14" t="s">
        <v>888</v>
      </c>
      <c r="C873" s="14"/>
      <c r="D873" s="14"/>
      <c r="E873" s="1">
        <v>21</v>
      </c>
      <c r="F873" s="1">
        <f t="shared" si="26"/>
        <v>41</v>
      </c>
      <c r="G873" s="1">
        <v>32</v>
      </c>
      <c r="H873" s="1">
        <f t="shared" si="27"/>
        <v>38.5</v>
      </c>
      <c r="I873" s="1">
        <v>39</v>
      </c>
      <c r="J873" s="1">
        <f t="shared" si="28"/>
        <v>59.75</v>
      </c>
      <c r="M873" s="1">
        <v>9</v>
      </c>
      <c r="P873" s="1">
        <v>5</v>
      </c>
      <c r="Q873" s="1">
        <v>5</v>
      </c>
      <c r="R873" s="1">
        <v>0</v>
      </c>
      <c r="S873" s="1">
        <v>35</v>
      </c>
    </row>
    <row r="874" spans="1:19" x14ac:dyDescent="0.25">
      <c r="A874" s="12">
        <v>40794</v>
      </c>
      <c r="B874" s="14" t="s">
        <v>889</v>
      </c>
      <c r="C874" s="14"/>
      <c r="D874" s="14"/>
      <c r="E874" s="1">
        <v>22</v>
      </c>
      <c r="F874" s="1">
        <f t="shared" si="26"/>
        <v>41.5</v>
      </c>
      <c r="G874" s="1">
        <v>28</v>
      </c>
      <c r="H874" s="1">
        <f t="shared" si="27"/>
        <v>37.5</v>
      </c>
      <c r="I874" s="1">
        <v>46</v>
      </c>
      <c r="J874" s="1">
        <f t="shared" si="28"/>
        <v>56.75</v>
      </c>
      <c r="M874" s="1">
        <v>13</v>
      </c>
      <c r="P874" s="1">
        <v>7</v>
      </c>
      <c r="Q874" s="1">
        <v>3</v>
      </c>
      <c r="R874" s="1">
        <v>3</v>
      </c>
      <c r="S874" s="1">
        <v>36</v>
      </c>
    </row>
    <row r="875" spans="1:19" x14ac:dyDescent="0.25">
      <c r="A875" s="12">
        <v>40801</v>
      </c>
      <c r="B875" s="14" t="s">
        <v>890</v>
      </c>
      <c r="C875" s="14"/>
      <c r="D875" s="14"/>
      <c r="E875" s="1">
        <v>22</v>
      </c>
      <c r="F875" s="1">
        <f t="shared" si="26"/>
        <v>36</v>
      </c>
      <c r="G875" s="1">
        <v>34</v>
      </c>
      <c r="H875" s="1">
        <f t="shared" si="27"/>
        <v>45.25</v>
      </c>
      <c r="I875" s="1">
        <v>47</v>
      </c>
      <c r="J875" s="1">
        <f t="shared" si="28"/>
        <v>59.5</v>
      </c>
      <c r="M875" s="1">
        <v>12</v>
      </c>
      <c r="P875" s="1">
        <v>10</v>
      </c>
      <c r="Q875" s="1">
        <v>3</v>
      </c>
      <c r="R875" s="1">
        <v>2</v>
      </c>
      <c r="S875" s="1">
        <v>37</v>
      </c>
    </row>
    <row r="876" spans="1:19" x14ac:dyDescent="0.25">
      <c r="A876" s="12">
        <v>40808</v>
      </c>
      <c r="B876" s="14" t="s">
        <v>891</v>
      </c>
      <c r="C876" s="14"/>
      <c r="D876" s="14"/>
      <c r="E876" s="1">
        <v>24</v>
      </c>
      <c r="F876" s="1">
        <f t="shared" si="26"/>
        <v>36</v>
      </c>
      <c r="G876" s="1">
        <v>33</v>
      </c>
      <c r="H876" s="1">
        <f t="shared" si="27"/>
        <v>47.75</v>
      </c>
      <c r="I876" s="1">
        <v>52</v>
      </c>
      <c r="J876" s="1">
        <f t="shared" si="28"/>
        <v>66</v>
      </c>
      <c r="M876" s="1">
        <v>8</v>
      </c>
      <c r="P876" s="1">
        <v>13</v>
      </c>
      <c r="Q876" s="1">
        <v>8</v>
      </c>
      <c r="R876" s="1">
        <v>3</v>
      </c>
      <c r="S876" s="1">
        <v>38</v>
      </c>
    </row>
    <row r="877" spans="1:19" x14ac:dyDescent="0.25">
      <c r="A877" s="12">
        <v>40815</v>
      </c>
      <c r="B877" s="14" t="s">
        <v>892</v>
      </c>
      <c r="C877" s="14"/>
      <c r="D877" s="14"/>
      <c r="E877" s="1">
        <v>27</v>
      </c>
      <c r="F877" s="1">
        <f t="shared" si="26"/>
        <v>40</v>
      </c>
      <c r="G877" s="1">
        <v>37</v>
      </c>
      <c r="H877" s="1">
        <f t="shared" si="27"/>
        <v>44.75</v>
      </c>
      <c r="I877" s="1">
        <v>53</v>
      </c>
      <c r="J877" s="1">
        <f t="shared" si="28"/>
        <v>66.75</v>
      </c>
      <c r="M877" s="1">
        <v>9</v>
      </c>
      <c r="P877" s="2" t="s">
        <v>551</v>
      </c>
      <c r="Q877" s="2" t="s">
        <v>551</v>
      </c>
      <c r="R877" s="2" t="s">
        <v>551</v>
      </c>
      <c r="S877" s="1">
        <v>39</v>
      </c>
    </row>
    <row r="878" spans="1:19" x14ac:dyDescent="0.25">
      <c r="A878" s="12">
        <v>40822</v>
      </c>
      <c r="B878" s="14" t="s">
        <v>893</v>
      </c>
      <c r="C878" s="14"/>
      <c r="D878" s="14"/>
      <c r="E878" s="1">
        <v>27</v>
      </c>
      <c r="F878" s="1">
        <f t="shared" si="26"/>
        <v>37</v>
      </c>
      <c r="G878" s="1">
        <v>33</v>
      </c>
      <c r="H878" s="1">
        <f t="shared" si="27"/>
        <v>44.5</v>
      </c>
      <c r="I878" s="1">
        <v>46</v>
      </c>
      <c r="J878" s="1">
        <f t="shared" si="28"/>
        <v>69.5</v>
      </c>
      <c r="M878" s="1">
        <v>9</v>
      </c>
      <c r="P878" s="2" t="s">
        <v>551</v>
      </c>
      <c r="Q878" s="2" t="s">
        <v>551</v>
      </c>
      <c r="R878" s="2" t="s">
        <v>551</v>
      </c>
      <c r="S878" s="1">
        <v>40</v>
      </c>
    </row>
    <row r="879" spans="1:19" x14ac:dyDescent="0.25">
      <c r="A879" s="12">
        <v>40829</v>
      </c>
      <c r="B879" s="14" t="s">
        <v>894</v>
      </c>
      <c r="C879" s="14"/>
      <c r="D879" s="14"/>
      <c r="E879" s="1">
        <v>36</v>
      </c>
      <c r="F879" s="1">
        <f t="shared" si="26"/>
        <v>38.75</v>
      </c>
      <c r="G879" s="1">
        <v>30</v>
      </c>
      <c r="H879" s="1">
        <f t="shared" si="27"/>
        <v>47</v>
      </c>
      <c r="I879" s="1">
        <v>45</v>
      </c>
      <c r="J879" s="1">
        <f t="shared" si="28"/>
        <v>68.25</v>
      </c>
      <c r="M879" s="1">
        <v>15</v>
      </c>
      <c r="P879" s="1">
        <v>9</v>
      </c>
      <c r="Q879" s="2" t="s">
        <v>551</v>
      </c>
      <c r="R879" s="1">
        <v>4</v>
      </c>
      <c r="S879" s="1">
        <v>41</v>
      </c>
    </row>
    <row r="880" spans="1:19" x14ac:dyDescent="0.25">
      <c r="A880" s="12">
        <v>40836</v>
      </c>
      <c r="B880" s="14" t="s">
        <v>895</v>
      </c>
      <c r="C880" s="14"/>
      <c r="D880" s="14"/>
      <c r="E880" s="1">
        <v>24</v>
      </c>
      <c r="F880" s="1">
        <f t="shared" si="26"/>
        <v>42.5</v>
      </c>
      <c r="G880" s="1">
        <v>39</v>
      </c>
      <c r="H880" s="1">
        <f t="shared" si="27"/>
        <v>46.25</v>
      </c>
      <c r="I880" s="1">
        <v>57</v>
      </c>
      <c r="J880" s="1">
        <f t="shared" si="28"/>
        <v>68.5</v>
      </c>
      <c r="M880" s="1">
        <v>12</v>
      </c>
      <c r="P880" s="1">
        <v>16</v>
      </c>
      <c r="Q880" s="1">
        <v>8</v>
      </c>
      <c r="R880" s="1">
        <v>3</v>
      </c>
      <c r="S880" s="1">
        <v>42</v>
      </c>
    </row>
    <row r="881" spans="1:19" x14ac:dyDescent="0.25">
      <c r="A881" s="12">
        <v>40843</v>
      </c>
      <c r="B881" s="14" t="s">
        <v>896</v>
      </c>
      <c r="C881" s="14"/>
      <c r="D881" s="14"/>
      <c r="E881" s="1">
        <v>25</v>
      </c>
      <c r="F881" s="1">
        <f t="shared" si="26"/>
        <v>44.75</v>
      </c>
      <c r="G881" s="1">
        <v>42</v>
      </c>
      <c r="H881" s="1">
        <f t="shared" si="27"/>
        <v>47.5</v>
      </c>
      <c r="I881" s="1">
        <v>55</v>
      </c>
      <c r="J881" s="1">
        <f t="shared" si="28"/>
        <v>71.75</v>
      </c>
      <c r="M881" s="1">
        <v>10</v>
      </c>
      <c r="P881" s="1">
        <v>15</v>
      </c>
      <c r="Q881" s="1">
        <v>13</v>
      </c>
      <c r="R881" s="1">
        <v>1</v>
      </c>
      <c r="S881" s="1">
        <v>43</v>
      </c>
    </row>
    <row r="882" spans="1:19" x14ac:dyDescent="0.25">
      <c r="A882" s="12">
        <v>40850</v>
      </c>
      <c r="B882" s="14" t="s">
        <v>897</v>
      </c>
      <c r="C882" s="14"/>
      <c r="D882" s="14"/>
      <c r="E882" s="1">
        <v>23</v>
      </c>
      <c r="F882" s="1">
        <f t="shared" si="26"/>
        <v>52</v>
      </c>
      <c r="G882" s="1">
        <v>33</v>
      </c>
      <c r="H882" s="1">
        <f t="shared" si="27"/>
        <v>42.75</v>
      </c>
      <c r="I882" s="1">
        <v>55</v>
      </c>
      <c r="J882" s="1">
        <f t="shared" si="28"/>
        <v>70.5</v>
      </c>
      <c r="M882" s="1">
        <v>10</v>
      </c>
      <c r="P882" s="1">
        <v>10</v>
      </c>
      <c r="Q882" s="1">
        <v>5</v>
      </c>
      <c r="R882" s="1">
        <v>4</v>
      </c>
      <c r="S882" s="1">
        <v>44</v>
      </c>
    </row>
    <row r="883" spans="1:19" x14ac:dyDescent="0.25">
      <c r="A883" s="12">
        <v>40857</v>
      </c>
      <c r="B883" s="14" t="s">
        <v>898</v>
      </c>
      <c r="C883" s="14"/>
      <c r="D883" s="14"/>
      <c r="E883" s="1">
        <v>27</v>
      </c>
      <c r="F883" s="1">
        <f t="shared" si="26"/>
        <v>46.5</v>
      </c>
      <c r="G883" s="1">
        <v>36</v>
      </c>
      <c r="H883" s="1">
        <f t="shared" si="27"/>
        <v>49.75</v>
      </c>
      <c r="I883" s="1">
        <v>46</v>
      </c>
      <c r="J883" s="1">
        <f t="shared" si="28"/>
        <v>71.75</v>
      </c>
      <c r="M883" s="1">
        <v>11</v>
      </c>
      <c r="P883" s="1">
        <v>11</v>
      </c>
      <c r="Q883" s="1">
        <v>6</v>
      </c>
      <c r="R883" s="1">
        <v>6</v>
      </c>
      <c r="S883" s="1">
        <v>45</v>
      </c>
    </row>
    <row r="884" spans="1:19" x14ac:dyDescent="0.25">
      <c r="A884" s="12">
        <v>40864</v>
      </c>
      <c r="B884" s="14" t="s">
        <v>899</v>
      </c>
      <c r="C884" s="14"/>
      <c r="D884" s="14"/>
      <c r="E884" s="1">
        <v>33</v>
      </c>
      <c r="F884" s="1">
        <f t="shared" si="26"/>
        <v>49</v>
      </c>
      <c r="G884" s="1">
        <v>38</v>
      </c>
      <c r="H884" s="1">
        <f t="shared" si="27"/>
        <v>51</v>
      </c>
      <c r="I884" s="1">
        <v>48</v>
      </c>
      <c r="J884" s="1">
        <f t="shared" si="28"/>
        <v>64.25</v>
      </c>
      <c r="M884" s="1">
        <v>12</v>
      </c>
      <c r="P884" s="1">
        <v>14</v>
      </c>
      <c r="Q884" s="1">
        <v>9</v>
      </c>
      <c r="R884" s="1">
        <v>2</v>
      </c>
      <c r="S884" s="1">
        <v>46</v>
      </c>
    </row>
    <row r="885" spans="1:19" x14ac:dyDescent="0.25">
      <c r="A885" s="12">
        <v>40871</v>
      </c>
      <c r="B885" s="14" t="s">
        <v>900</v>
      </c>
      <c r="C885" s="14"/>
      <c r="D885" s="14"/>
      <c r="E885" s="1">
        <v>21</v>
      </c>
      <c r="F885" s="1">
        <f t="shared" si="26"/>
        <v>44.5</v>
      </c>
      <c r="G885" s="1">
        <v>35</v>
      </c>
      <c r="H885" s="1">
        <f t="shared" si="27"/>
        <v>51.5</v>
      </c>
      <c r="I885" s="1">
        <v>58</v>
      </c>
      <c r="J885" s="1">
        <f t="shared" si="28"/>
        <v>64.5</v>
      </c>
      <c r="M885" s="1">
        <v>12</v>
      </c>
      <c r="P885" s="2" t="s">
        <v>551</v>
      </c>
      <c r="Q885" s="2" t="s">
        <v>551</v>
      </c>
      <c r="R885" s="2" t="s">
        <v>551</v>
      </c>
      <c r="S885" s="1">
        <v>47</v>
      </c>
    </row>
    <row r="886" spans="1:19" x14ac:dyDescent="0.25">
      <c r="A886" s="12">
        <v>40878</v>
      </c>
      <c r="B886" s="14" t="s">
        <v>901</v>
      </c>
      <c r="C886" s="14"/>
      <c r="D886" s="14"/>
      <c r="E886" s="1">
        <v>23</v>
      </c>
      <c r="F886" s="1">
        <f t="shared" si="26"/>
        <v>42.25</v>
      </c>
      <c r="G886" s="1">
        <v>32</v>
      </c>
      <c r="H886" s="1">
        <f t="shared" si="27"/>
        <v>48.25</v>
      </c>
      <c r="I886" s="1">
        <v>53</v>
      </c>
      <c r="J886" s="1">
        <f t="shared" si="28"/>
        <v>70</v>
      </c>
      <c r="M886" s="1">
        <v>14</v>
      </c>
      <c r="P886" s="1">
        <v>11</v>
      </c>
      <c r="Q886" s="2" t="s">
        <v>551</v>
      </c>
      <c r="R886" s="1">
        <v>4</v>
      </c>
      <c r="S886" s="1">
        <v>48</v>
      </c>
    </row>
    <row r="887" spans="1:19" x14ac:dyDescent="0.25">
      <c r="A887" s="12">
        <v>40885</v>
      </c>
      <c r="B887" s="14" t="s">
        <v>902</v>
      </c>
      <c r="C887" s="14"/>
      <c r="D887" s="14"/>
      <c r="E887" s="1">
        <v>25</v>
      </c>
      <c r="F887" s="1">
        <f t="shared" si="26"/>
        <v>42.5</v>
      </c>
      <c r="G887" s="1">
        <v>34</v>
      </c>
      <c r="H887" s="1">
        <f t="shared" si="27"/>
        <v>44.25</v>
      </c>
      <c r="I887" s="1">
        <v>59</v>
      </c>
      <c r="J887" s="1">
        <f t="shared" si="28"/>
        <v>63.75</v>
      </c>
      <c r="M887" s="1">
        <v>12</v>
      </c>
      <c r="P887" s="1">
        <v>10</v>
      </c>
      <c r="Q887" s="1">
        <v>10</v>
      </c>
      <c r="R887" s="1">
        <v>7</v>
      </c>
      <c r="S887" s="1">
        <v>49</v>
      </c>
    </row>
    <row r="888" spans="1:19" x14ac:dyDescent="0.25">
      <c r="A888" s="12">
        <v>40892</v>
      </c>
      <c r="B888" s="14" t="s">
        <v>903</v>
      </c>
      <c r="C888" s="14"/>
      <c r="D888" s="14"/>
      <c r="E888" s="1">
        <v>25</v>
      </c>
      <c r="F888" s="1">
        <f t="shared" si="26"/>
        <v>40</v>
      </c>
      <c r="G888" s="1">
        <v>39</v>
      </c>
      <c r="H888" s="1">
        <f t="shared" si="27"/>
        <v>42.25</v>
      </c>
      <c r="I888" s="1">
        <v>45</v>
      </c>
      <c r="J888" s="1">
        <f t="shared" si="28"/>
        <v>60</v>
      </c>
      <c r="M888" s="1">
        <v>10</v>
      </c>
      <c r="P888" s="1">
        <v>9</v>
      </c>
      <c r="Q888" s="1">
        <v>9</v>
      </c>
      <c r="R888" s="1">
        <v>6</v>
      </c>
      <c r="S888" s="1">
        <v>50</v>
      </c>
    </row>
    <row r="889" spans="1:19" x14ac:dyDescent="0.25">
      <c r="A889" s="12">
        <v>40899</v>
      </c>
      <c r="B889" s="14" t="s">
        <v>904</v>
      </c>
      <c r="C889" s="14"/>
      <c r="D889" s="14"/>
      <c r="E889" s="1">
        <v>22</v>
      </c>
      <c r="F889" s="1">
        <f t="shared" si="26"/>
        <v>37.25</v>
      </c>
      <c r="G889" s="1">
        <v>39</v>
      </c>
      <c r="H889" s="1">
        <f t="shared" si="27"/>
        <v>40.25</v>
      </c>
      <c r="I889" s="1">
        <v>46</v>
      </c>
      <c r="J889" s="1">
        <f t="shared" si="28"/>
        <v>58.75</v>
      </c>
      <c r="M889" s="1">
        <v>10</v>
      </c>
      <c r="P889" s="1">
        <v>5</v>
      </c>
      <c r="Q889" s="1">
        <v>7</v>
      </c>
      <c r="R889" s="1">
        <v>3</v>
      </c>
      <c r="S889" s="1">
        <v>51</v>
      </c>
    </row>
    <row r="890" spans="1:19" x14ac:dyDescent="0.25">
      <c r="A890" s="12">
        <v>40906</v>
      </c>
      <c r="B890" s="14" t="s">
        <v>905</v>
      </c>
      <c r="C890" s="14"/>
      <c r="D890" s="14"/>
      <c r="E890" s="1">
        <v>26</v>
      </c>
      <c r="F890" s="1">
        <f t="shared" si="26"/>
        <v>39.75</v>
      </c>
      <c r="G890" s="1">
        <v>30</v>
      </c>
      <c r="H890" s="1">
        <f t="shared" si="27"/>
        <v>41.5</v>
      </c>
      <c r="I890" s="1">
        <v>50</v>
      </c>
      <c r="J890" s="1">
        <f t="shared" si="28"/>
        <v>65.75</v>
      </c>
      <c r="M890" s="1">
        <v>9</v>
      </c>
      <c r="P890" s="1">
        <v>7</v>
      </c>
      <c r="Q890" s="1">
        <v>6</v>
      </c>
      <c r="R890" s="1">
        <v>5</v>
      </c>
      <c r="S890" s="1">
        <v>52</v>
      </c>
    </row>
    <row r="891" spans="1:19" x14ac:dyDescent="0.25">
      <c r="A891" s="12">
        <v>40913</v>
      </c>
      <c r="B891" s="14" t="s">
        <v>906</v>
      </c>
      <c r="C891" s="14"/>
      <c r="D891" s="14"/>
      <c r="E891" s="1">
        <v>21</v>
      </c>
      <c r="F891" s="1">
        <f t="shared" si="26"/>
        <v>38.75</v>
      </c>
      <c r="G891" s="1">
        <v>40</v>
      </c>
      <c r="H891" s="1">
        <f t="shared" si="27"/>
        <v>42.5</v>
      </c>
      <c r="I891" s="1">
        <v>61</v>
      </c>
      <c r="J891" s="1">
        <f t="shared" si="28"/>
        <v>66.5</v>
      </c>
      <c r="M891" s="1">
        <v>10</v>
      </c>
      <c r="P891" s="1">
        <v>6</v>
      </c>
      <c r="Q891" s="1">
        <v>6</v>
      </c>
      <c r="R891" s="1">
        <v>4</v>
      </c>
      <c r="S891" s="1">
        <v>1</v>
      </c>
    </row>
    <row r="892" spans="1:19" x14ac:dyDescent="0.25">
      <c r="A892" s="12">
        <v>40920</v>
      </c>
      <c r="B892" s="14" t="s">
        <v>907</v>
      </c>
      <c r="C892" s="14"/>
      <c r="D892" s="14"/>
      <c r="E892" s="1">
        <v>25</v>
      </c>
      <c r="F892" s="1">
        <f t="shared" si="26"/>
        <v>39</v>
      </c>
      <c r="G892" s="1">
        <v>37</v>
      </c>
      <c r="H892" s="1">
        <f t="shared" si="27"/>
        <v>44.25</v>
      </c>
      <c r="I892" s="1">
        <v>66</v>
      </c>
      <c r="J892" s="1">
        <f t="shared" si="28"/>
        <v>69</v>
      </c>
      <c r="M892" s="1">
        <v>10</v>
      </c>
      <c r="P892" s="2" t="s">
        <v>551</v>
      </c>
      <c r="Q892" s="2" t="s">
        <v>551</v>
      </c>
      <c r="R892" s="2" t="s">
        <v>551</v>
      </c>
      <c r="S892" s="1">
        <v>2</v>
      </c>
    </row>
    <row r="893" spans="1:19" x14ac:dyDescent="0.25">
      <c r="A893" s="12">
        <v>40927</v>
      </c>
      <c r="B893" s="14" t="s">
        <v>908</v>
      </c>
      <c r="C893" s="14"/>
      <c r="D893" s="14"/>
      <c r="E893" s="1">
        <v>36</v>
      </c>
      <c r="F893" s="1">
        <f t="shared" si="26"/>
        <v>42</v>
      </c>
      <c r="G893" s="1">
        <v>41</v>
      </c>
      <c r="H893" s="1">
        <f t="shared" si="27"/>
        <v>49</v>
      </c>
      <c r="I893" s="1">
        <v>52</v>
      </c>
      <c r="J893" s="1">
        <f t="shared" si="28"/>
        <v>74.5</v>
      </c>
      <c r="M893" s="1">
        <v>6</v>
      </c>
      <c r="P893" s="2" t="s">
        <v>551</v>
      </c>
      <c r="Q893" s="2" t="s">
        <v>551</v>
      </c>
      <c r="R893" s="2" t="s">
        <v>551</v>
      </c>
      <c r="S893" s="1">
        <v>3</v>
      </c>
    </row>
    <row r="894" spans="1:19" x14ac:dyDescent="0.25">
      <c r="A894" s="12">
        <v>40934</v>
      </c>
      <c r="B894" s="14" t="s">
        <v>909</v>
      </c>
      <c r="C894" s="14"/>
      <c r="D894" s="14"/>
      <c r="E894" s="1">
        <v>36</v>
      </c>
      <c r="F894" s="1">
        <f t="shared" si="26"/>
        <v>46</v>
      </c>
      <c r="G894" s="1">
        <v>38</v>
      </c>
      <c r="H894" s="1">
        <f t="shared" si="27"/>
        <v>47.75</v>
      </c>
      <c r="I894" s="1">
        <v>53</v>
      </c>
      <c r="J894" s="1">
        <f t="shared" si="28"/>
        <v>77.75</v>
      </c>
      <c r="M894" s="1">
        <v>5</v>
      </c>
      <c r="P894" s="2" t="s">
        <v>551</v>
      </c>
      <c r="Q894" s="2" t="s">
        <v>551</v>
      </c>
      <c r="R894" s="2" t="s">
        <v>551</v>
      </c>
      <c r="S894" s="1">
        <v>4</v>
      </c>
    </row>
    <row r="895" spans="1:19" x14ac:dyDescent="0.25">
      <c r="A895" s="12">
        <v>40941</v>
      </c>
      <c r="B895" s="14" t="s">
        <v>910</v>
      </c>
      <c r="C895" s="14"/>
      <c r="D895" s="14"/>
      <c r="E895" s="1">
        <v>37</v>
      </c>
      <c r="F895" s="1">
        <f t="shared" si="26"/>
        <v>55.75</v>
      </c>
      <c r="G895" s="1">
        <v>39</v>
      </c>
      <c r="H895" s="1">
        <f t="shared" si="27"/>
        <v>48.25</v>
      </c>
      <c r="I895" s="1">
        <v>44</v>
      </c>
      <c r="J895" s="1">
        <f t="shared" si="28"/>
        <v>72.25</v>
      </c>
      <c r="M895" s="1">
        <v>14</v>
      </c>
      <c r="P895" s="2" t="s">
        <v>551</v>
      </c>
      <c r="Q895" s="2" t="s">
        <v>551</v>
      </c>
      <c r="R895" s="2" t="s">
        <v>551</v>
      </c>
      <c r="S895" s="1">
        <v>5</v>
      </c>
    </row>
    <row r="896" spans="1:19" x14ac:dyDescent="0.25">
      <c r="A896" s="12">
        <v>40948</v>
      </c>
      <c r="B896" s="14" t="s">
        <v>911</v>
      </c>
      <c r="C896" s="14"/>
      <c r="D896" s="14"/>
      <c r="E896" s="1">
        <v>28</v>
      </c>
      <c r="F896" s="1">
        <f t="shared" si="26"/>
        <v>52.25</v>
      </c>
      <c r="G896" s="1">
        <v>37</v>
      </c>
      <c r="H896" s="1">
        <f t="shared" si="27"/>
        <v>47.5</v>
      </c>
      <c r="I896" s="1">
        <v>47</v>
      </c>
      <c r="J896" s="1">
        <f t="shared" si="28"/>
        <v>69.75</v>
      </c>
      <c r="M896" s="1">
        <v>12</v>
      </c>
      <c r="P896" s="2" t="s">
        <v>551</v>
      </c>
      <c r="Q896" s="2" t="s">
        <v>551</v>
      </c>
      <c r="R896" s="2" t="s">
        <v>551</v>
      </c>
      <c r="S896" s="1">
        <v>6</v>
      </c>
    </row>
    <row r="897" spans="1:19" x14ac:dyDescent="0.25">
      <c r="A897" s="12">
        <v>40955</v>
      </c>
      <c r="B897" s="14" t="s">
        <v>912</v>
      </c>
      <c r="C897" s="14"/>
      <c r="D897" s="14"/>
      <c r="E897" s="1">
        <v>31</v>
      </c>
      <c r="F897" s="1">
        <f t="shared" si="26"/>
        <v>53.25</v>
      </c>
      <c r="G897" s="1">
        <v>36</v>
      </c>
      <c r="H897" s="1">
        <f t="shared" si="27"/>
        <v>45.5</v>
      </c>
      <c r="I897" s="1">
        <v>42</v>
      </c>
      <c r="J897" s="1">
        <f t="shared" si="28"/>
        <v>64.75</v>
      </c>
      <c r="M897" s="1">
        <v>12</v>
      </c>
      <c r="P897" s="2" t="s">
        <v>551</v>
      </c>
      <c r="Q897" s="2" t="s">
        <v>551</v>
      </c>
      <c r="R897" s="2" t="s">
        <v>551</v>
      </c>
      <c r="S897" s="1">
        <v>7</v>
      </c>
    </row>
    <row r="898" spans="1:19" x14ac:dyDescent="0.25">
      <c r="A898" s="12">
        <v>40962</v>
      </c>
      <c r="B898" s="14" t="s">
        <v>913</v>
      </c>
      <c r="C898" s="14"/>
      <c r="D898" s="14"/>
      <c r="E898" s="1">
        <v>20</v>
      </c>
      <c r="F898" s="1">
        <f t="shared" si="26"/>
        <v>53.25</v>
      </c>
      <c r="G898" s="1">
        <v>34</v>
      </c>
      <c r="H898" s="1">
        <f t="shared" si="27"/>
        <v>45.75</v>
      </c>
      <c r="I898" s="1">
        <v>46</v>
      </c>
      <c r="J898" s="1">
        <f t="shared" si="28"/>
        <v>65.75</v>
      </c>
      <c r="M898" s="1">
        <v>11</v>
      </c>
      <c r="P898" s="2" t="s">
        <v>551</v>
      </c>
      <c r="Q898" s="2" t="s">
        <v>551</v>
      </c>
      <c r="R898" s="2" t="s">
        <v>551</v>
      </c>
      <c r="S898" s="1">
        <v>8</v>
      </c>
    </row>
    <row r="899" spans="1:19" x14ac:dyDescent="0.25">
      <c r="A899" s="12">
        <v>40969</v>
      </c>
      <c r="B899" s="14" t="s">
        <v>914</v>
      </c>
      <c r="C899" s="14"/>
      <c r="D899" s="14"/>
      <c r="E899" s="1">
        <v>27</v>
      </c>
      <c r="F899" s="1">
        <f t="shared" si="26"/>
        <v>54</v>
      </c>
      <c r="G899" s="1">
        <v>34</v>
      </c>
      <c r="H899" s="1">
        <f t="shared" si="27"/>
        <v>45.5</v>
      </c>
      <c r="I899" s="1">
        <v>39</v>
      </c>
      <c r="J899" s="1">
        <f t="shared" si="28"/>
        <v>69.5</v>
      </c>
      <c r="M899" s="1">
        <v>16</v>
      </c>
      <c r="P899" s="2" t="s">
        <v>551</v>
      </c>
      <c r="Q899" s="2" t="s">
        <v>551</v>
      </c>
      <c r="R899" s="2" t="s">
        <v>551</v>
      </c>
      <c r="S899" s="1">
        <v>9</v>
      </c>
    </row>
    <row r="900" spans="1:19" x14ac:dyDescent="0.25">
      <c r="A900" s="12">
        <v>40976</v>
      </c>
      <c r="B900" s="14" t="s">
        <v>915</v>
      </c>
      <c r="C900" s="14"/>
      <c r="D900" s="14"/>
      <c r="E900" s="1">
        <v>33</v>
      </c>
      <c r="F900" s="1">
        <f t="shared" si="26"/>
        <v>52.75</v>
      </c>
      <c r="G900" s="1">
        <v>33</v>
      </c>
      <c r="H900" s="1">
        <f t="shared" si="27"/>
        <v>43.75</v>
      </c>
      <c r="I900" s="1">
        <v>38</v>
      </c>
      <c r="J900" s="1">
        <f t="shared" si="28"/>
        <v>61.75</v>
      </c>
      <c r="M900" s="1">
        <v>15</v>
      </c>
      <c r="P900" s="2" t="s">
        <v>551</v>
      </c>
      <c r="Q900" s="2" t="s">
        <v>551</v>
      </c>
      <c r="R900" s="2" t="s">
        <v>551</v>
      </c>
      <c r="S900" s="1">
        <v>10</v>
      </c>
    </row>
    <row r="901" spans="1:19" x14ac:dyDescent="0.25">
      <c r="A901" s="12">
        <v>40983</v>
      </c>
      <c r="B901" s="14" t="s">
        <v>916</v>
      </c>
      <c r="C901" s="14"/>
      <c r="D901" s="14"/>
      <c r="E901" s="1">
        <v>25</v>
      </c>
      <c r="F901" s="1">
        <f t="shared" si="26"/>
        <v>48.25</v>
      </c>
      <c r="G901" s="1">
        <v>36</v>
      </c>
      <c r="H901" s="1">
        <f t="shared" si="27"/>
        <v>45.5</v>
      </c>
      <c r="I901" s="1">
        <v>40</v>
      </c>
      <c r="J901" s="1">
        <f t="shared" si="28"/>
        <v>52.5</v>
      </c>
      <c r="M901" s="1">
        <v>8</v>
      </c>
      <c r="P901" s="2" t="s">
        <v>551</v>
      </c>
      <c r="Q901" s="2" t="s">
        <v>551</v>
      </c>
      <c r="R901" s="2" t="s">
        <v>551</v>
      </c>
      <c r="S901" s="1">
        <v>11</v>
      </c>
    </row>
    <row r="902" spans="1:19" x14ac:dyDescent="0.25">
      <c r="A902" s="12">
        <v>40990</v>
      </c>
      <c r="B902" s="14" t="s">
        <v>917</v>
      </c>
      <c r="C902" s="14"/>
      <c r="D902" s="14"/>
      <c r="E902" s="1">
        <v>26</v>
      </c>
      <c r="F902" s="1">
        <f t="shared" si="26"/>
        <v>38.25</v>
      </c>
      <c r="G902" s="1">
        <v>30</v>
      </c>
      <c r="H902" s="1">
        <f t="shared" si="27"/>
        <v>44</v>
      </c>
      <c r="I902" s="1">
        <v>38</v>
      </c>
      <c r="J902" s="1">
        <f t="shared" si="28"/>
        <v>54.5</v>
      </c>
      <c r="M902" s="1">
        <v>11</v>
      </c>
      <c r="P902" s="2" t="s">
        <v>551</v>
      </c>
      <c r="Q902" s="2" t="s">
        <v>551</v>
      </c>
      <c r="R902" s="2" t="s">
        <v>551</v>
      </c>
      <c r="S902" s="1">
        <v>12</v>
      </c>
    </row>
    <row r="903" spans="1:19" x14ac:dyDescent="0.25">
      <c r="A903" s="12">
        <v>40997</v>
      </c>
      <c r="B903" s="14" t="s">
        <v>918</v>
      </c>
      <c r="C903" s="14"/>
      <c r="D903" s="14"/>
      <c r="E903" s="1">
        <v>17</v>
      </c>
      <c r="F903" s="1">
        <f t="shared" si="26"/>
        <v>31.75</v>
      </c>
      <c r="G903" s="1">
        <v>34</v>
      </c>
      <c r="H903" s="1">
        <f t="shared" si="27"/>
        <v>44.5</v>
      </c>
      <c r="I903" s="1">
        <v>41</v>
      </c>
      <c r="J903" s="1">
        <f t="shared" si="28"/>
        <v>48.75</v>
      </c>
      <c r="M903" s="1">
        <v>11</v>
      </c>
      <c r="P903" s="2" t="s">
        <v>551</v>
      </c>
      <c r="Q903" s="2" t="s">
        <v>551</v>
      </c>
      <c r="R903" s="2" t="s">
        <v>551</v>
      </c>
      <c r="S903" s="1">
        <v>13</v>
      </c>
    </row>
    <row r="904" spans="1:19" x14ac:dyDescent="0.25">
      <c r="A904" s="12">
        <v>41004</v>
      </c>
      <c r="B904" s="14" t="s">
        <v>919</v>
      </c>
      <c r="C904" s="14"/>
      <c r="D904" s="14"/>
      <c r="E904" s="1">
        <v>20</v>
      </c>
      <c r="F904" s="1">
        <f t="shared" si="26"/>
        <v>31.25</v>
      </c>
      <c r="G904" s="1">
        <v>28</v>
      </c>
      <c r="H904" s="1">
        <f t="shared" si="27"/>
        <v>39</v>
      </c>
      <c r="I904" s="1">
        <v>37</v>
      </c>
      <c r="J904" s="1">
        <f t="shared" si="28"/>
        <v>49.25</v>
      </c>
      <c r="M904" s="1">
        <v>12</v>
      </c>
      <c r="P904" s="2" t="s">
        <v>551</v>
      </c>
      <c r="Q904" s="2" t="s">
        <v>551</v>
      </c>
      <c r="R904" s="2" t="s">
        <v>551</v>
      </c>
      <c r="S904" s="1">
        <v>14</v>
      </c>
    </row>
    <row r="905" spans="1:19" x14ac:dyDescent="0.25">
      <c r="A905" s="12">
        <v>41011</v>
      </c>
      <c r="B905" s="14" t="s">
        <v>920</v>
      </c>
      <c r="C905" s="14"/>
      <c r="D905" s="14"/>
      <c r="E905" s="1">
        <v>21</v>
      </c>
      <c r="F905" s="1">
        <f t="shared" si="26"/>
        <v>30.25</v>
      </c>
      <c r="G905" s="1">
        <v>31</v>
      </c>
      <c r="H905" s="1">
        <f t="shared" si="27"/>
        <v>38</v>
      </c>
      <c r="I905" s="1">
        <v>27</v>
      </c>
      <c r="J905" s="1">
        <f t="shared" si="28"/>
        <v>43.75</v>
      </c>
      <c r="M905" s="1">
        <v>10</v>
      </c>
      <c r="P905" s="2" t="s">
        <v>551</v>
      </c>
      <c r="Q905" s="2" t="s">
        <v>551</v>
      </c>
      <c r="R905" s="2" t="s">
        <v>551</v>
      </c>
      <c r="S905" s="1">
        <v>15</v>
      </c>
    </row>
    <row r="906" spans="1:19" x14ac:dyDescent="0.25">
      <c r="A906" s="12">
        <v>41018</v>
      </c>
      <c r="B906" s="14" t="s">
        <v>921</v>
      </c>
      <c r="C906" s="14"/>
      <c r="D906" s="14"/>
      <c r="E906" s="1">
        <v>18</v>
      </c>
      <c r="F906" s="1">
        <f t="shared" si="26"/>
        <v>25.25</v>
      </c>
      <c r="G906" s="1">
        <v>24</v>
      </c>
      <c r="H906" s="1">
        <f t="shared" si="27"/>
        <v>34.75</v>
      </c>
      <c r="I906" s="1">
        <v>32</v>
      </c>
      <c r="J906" s="1">
        <f t="shared" si="28"/>
        <v>44</v>
      </c>
      <c r="M906" s="1">
        <v>6</v>
      </c>
      <c r="P906" s="2" t="s">
        <v>551</v>
      </c>
      <c r="Q906" s="2" t="s">
        <v>551</v>
      </c>
      <c r="R906" s="2" t="s">
        <v>551</v>
      </c>
      <c r="S906" s="1">
        <v>16</v>
      </c>
    </row>
    <row r="907" spans="1:19" x14ac:dyDescent="0.25">
      <c r="A907" s="12">
        <v>41025</v>
      </c>
      <c r="B907" s="14" t="s">
        <v>922</v>
      </c>
      <c r="C907" s="14"/>
      <c r="D907" s="14"/>
      <c r="E907" s="1">
        <v>15</v>
      </c>
      <c r="F907" s="1">
        <f t="shared" si="26"/>
        <v>25.25</v>
      </c>
      <c r="G907" s="1">
        <v>27</v>
      </c>
      <c r="H907" s="1">
        <f t="shared" si="27"/>
        <v>31.25</v>
      </c>
      <c r="I907" s="1">
        <v>34</v>
      </c>
      <c r="J907" s="1">
        <f t="shared" si="28"/>
        <v>47</v>
      </c>
      <c r="M907" s="1">
        <v>8</v>
      </c>
      <c r="P907" s="2" t="s">
        <v>551</v>
      </c>
      <c r="Q907" s="2" t="s">
        <v>551</v>
      </c>
      <c r="R907" s="2" t="s">
        <v>551</v>
      </c>
      <c r="S907" s="1">
        <v>17</v>
      </c>
    </row>
    <row r="908" spans="1:19" x14ac:dyDescent="0.25">
      <c r="A908" s="12">
        <v>41032</v>
      </c>
      <c r="B908" s="14" t="s">
        <v>923</v>
      </c>
      <c r="C908" s="14"/>
      <c r="D908" s="14"/>
      <c r="E908" s="1">
        <v>22</v>
      </c>
      <c r="F908" s="1">
        <f t="shared" si="26"/>
        <v>25.75</v>
      </c>
      <c r="G908" s="1">
        <v>25</v>
      </c>
      <c r="H908" s="1">
        <f t="shared" si="27"/>
        <v>30.25</v>
      </c>
      <c r="I908" s="1">
        <v>36</v>
      </c>
      <c r="J908" s="1">
        <f t="shared" si="28"/>
        <v>46.5</v>
      </c>
      <c r="M908" s="1">
        <v>15</v>
      </c>
      <c r="P908" s="2" t="s">
        <v>551</v>
      </c>
      <c r="Q908" s="2" t="s">
        <v>551</v>
      </c>
      <c r="R908" s="2" t="s">
        <v>551</v>
      </c>
      <c r="S908" s="1">
        <v>18</v>
      </c>
    </row>
    <row r="909" spans="1:19" x14ac:dyDescent="0.25">
      <c r="A909" s="12">
        <v>41039</v>
      </c>
      <c r="B909" s="14" t="s">
        <v>924</v>
      </c>
      <c r="C909" s="14"/>
      <c r="D909" s="14"/>
      <c r="E909" s="1">
        <v>20</v>
      </c>
      <c r="F909" s="1">
        <f t="shared" si="26"/>
        <v>23.5</v>
      </c>
      <c r="G909" s="1">
        <v>30</v>
      </c>
      <c r="H909" s="1">
        <f t="shared" si="27"/>
        <v>34.75</v>
      </c>
      <c r="I909" s="1">
        <v>32</v>
      </c>
      <c r="J909" s="1">
        <f t="shared" si="28"/>
        <v>50.5</v>
      </c>
      <c r="M909" s="1">
        <v>17</v>
      </c>
      <c r="P909" s="2" t="s">
        <v>551</v>
      </c>
      <c r="Q909" s="2" t="s">
        <v>551</v>
      </c>
      <c r="R909" s="2" t="s">
        <v>551</v>
      </c>
      <c r="S909" s="1">
        <v>19</v>
      </c>
    </row>
    <row r="910" spans="1:19" x14ac:dyDescent="0.25">
      <c r="A910" s="12">
        <v>41046</v>
      </c>
      <c r="B910" s="14" t="s">
        <v>925</v>
      </c>
      <c r="C910" s="14"/>
      <c r="D910" s="14"/>
      <c r="E910" s="1">
        <v>17</v>
      </c>
      <c r="F910" s="1">
        <f t="shared" si="26"/>
        <v>24.75</v>
      </c>
      <c r="G910" s="1">
        <v>30</v>
      </c>
      <c r="H910" s="1">
        <f t="shared" si="27"/>
        <v>35</v>
      </c>
      <c r="I910" s="1">
        <v>36</v>
      </c>
      <c r="J910" s="1">
        <f t="shared" si="28"/>
        <v>46</v>
      </c>
      <c r="M910" s="1">
        <v>8</v>
      </c>
      <c r="P910" s="2" t="s">
        <v>551</v>
      </c>
      <c r="Q910" s="2" t="s">
        <v>551</v>
      </c>
      <c r="R910" s="2" t="s">
        <v>551</v>
      </c>
      <c r="S910" s="1">
        <v>20</v>
      </c>
    </row>
    <row r="911" spans="1:19" x14ac:dyDescent="0.25">
      <c r="A911" s="12">
        <v>41053</v>
      </c>
      <c r="B911" s="14" t="s">
        <v>926</v>
      </c>
      <c r="C911" s="14"/>
      <c r="D911" s="14"/>
      <c r="E911" s="1">
        <v>16</v>
      </c>
      <c r="F911" s="1">
        <f t="shared" si="26"/>
        <v>26.75</v>
      </c>
      <c r="G911" s="1">
        <v>33</v>
      </c>
      <c r="H911" s="1">
        <f t="shared" si="27"/>
        <v>33</v>
      </c>
      <c r="I911" s="1">
        <v>41</v>
      </c>
      <c r="J911" s="1">
        <f t="shared" si="28"/>
        <v>45</v>
      </c>
      <c r="M911" s="1">
        <v>7</v>
      </c>
      <c r="P911" s="2" t="s">
        <v>551</v>
      </c>
      <c r="Q911" s="2" t="s">
        <v>551</v>
      </c>
      <c r="R911" s="2" t="s">
        <v>551</v>
      </c>
      <c r="S911" s="1">
        <v>21</v>
      </c>
    </row>
    <row r="912" spans="1:19" x14ac:dyDescent="0.25">
      <c r="A912" s="12">
        <v>41060</v>
      </c>
      <c r="B912" s="14" t="s">
        <v>927</v>
      </c>
      <c r="C912" s="14"/>
      <c r="D912" s="14"/>
      <c r="E912" s="1">
        <v>16</v>
      </c>
      <c r="F912" s="1">
        <f t="shared" si="26"/>
        <v>22</v>
      </c>
      <c r="G912" s="1">
        <v>29</v>
      </c>
      <c r="H912" s="1">
        <f t="shared" si="27"/>
        <v>34.25</v>
      </c>
      <c r="I912" s="1">
        <v>41</v>
      </c>
      <c r="J912" s="1">
        <f t="shared" si="28"/>
        <v>45</v>
      </c>
      <c r="M912" s="1">
        <v>7</v>
      </c>
      <c r="P912" s="2" t="s">
        <v>551</v>
      </c>
      <c r="Q912" s="2" t="s">
        <v>551</v>
      </c>
      <c r="R912" s="2" t="s">
        <v>551</v>
      </c>
      <c r="S912" s="1">
        <v>22</v>
      </c>
    </row>
    <row r="913" spans="1:19" x14ac:dyDescent="0.25">
      <c r="A913" s="12">
        <v>41067</v>
      </c>
      <c r="B913" s="14" t="s">
        <v>928</v>
      </c>
      <c r="C913" s="14"/>
      <c r="D913" s="14"/>
      <c r="E913" s="1">
        <v>17</v>
      </c>
      <c r="F913" s="1">
        <f t="shared" si="26"/>
        <v>21.25</v>
      </c>
      <c r="G913" s="1">
        <v>28</v>
      </c>
      <c r="H913" s="1">
        <f t="shared" si="27"/>
        <v>34.25</v>
      </c>
      <c r="I913" s="1">
        <v>32</v>
      </c>
      <c r="J913" s="1">
        <f t="shared" si="28"/>
        <v>47</v>
      </c>
      <c r="M913" s="1">
        <v>9</v>
      </c>
      <c r="P913" s="2" t="s">
        <v>551</v>
      </c>
      <c r="Q913" s="2" t="s">
        <v>551</v>
      </c>
      <c r="R913" s="2" t="s">
        <v>551</v>
      </c>
      <c r="S913" s="1">
        <v>23</v>
      </c>
    </row>
    <row r="914" spans="1:19" x14ac:dyDescent="0.25">
      <c r="A914" s="12">
        <v>41074</v>
      </c>
      <c r="B914" s="14" t="s">
        <v>929</v>
      </c>
      <c r="C914" s="14"/>
      <c r="D914" s="14"/>
      <c r="E914" s="1">
        <v>19</v>
      </c>
      <c r="F914" s="1">
        <f t="shared" si="26"/>
        <v>22.5</v>
      </c>
      <c r="G914" s="1">
        <v>23</v>
      </c>
      <c r="H914" s="1">
        <f t="shared" si="27"/>
        <v>35.25</v>
      </c>
      <c r="I914" s="1">
        <v>40</v>
      </c>
      <c r="J914" s="1">
        <f t="shared" si="28"/>
        <v>47</v>
      </c>
      <c r="M914" s="1">
        <v>4</v>
      </c>
      <c r="P914" s="2" t="s">
        <v>551</v>
      </c>
      <c r="Q914" s="2" t="s">
        <v>551</v>
      </c>
      <c r="R914" s="2" t="s">
        <v>551</v>
      </c>
      <c r="S914" s="1">
        <v>24</v>
      </c>
    </row>
    <row r="915" spans="1:19" x14ac:dyDescent="0.25">
      <c r="A915" s="12">
        <v>41081</v>
      </c>
      <c r="B915" s="14" t="s">
        <v>930</v>
      </c>
      <c r="C915" s="14"/>
      <c r="D915" s="14"/>
      <c r="E915" s="1">
        <v>13</v>
      </c>
      <c r="F915" s="1">
        <f t="shared" ref="F915:F978" si="29">AVERAGE(E863,E811,E759,E707)</f>
        <v>23.5</v>
      </c>
      <c r="G915" s="1">
        <v>32</v>
      </c>
      <c r="H915" s="1">
        <f t="shared" ref="H915:H978" si="30">AVERAGE(G863,G811,G759,G707)</f>
        <v>32.5</v>
      </c>
      <c r="I915" s="1">
        <v>43</v>
      </c>
      <c r="J915" s="1">
        <f t="shared" ref="J915:J978" si="31">AVERAGE(I863,I811,I759,I707)</f>
        <v>54.75</v>
      </c>
      <c r="M915" s="1">
        <v>8</v>
      </c>
      <c r="P915" s="2" t="s">
        <v>551</v>
      </c>
      <c r="Q915" s="2" t="s">
        <v>551</v>
      </c>
      <c r="R915" s="2" t="s">
        <v>551</v>
      </c>
      <c r="S915" s="1">
        <v>25</v>
      </c>
    </row>
    <row r="916" spans="1:19" x14ac:dyDescent="0.25">
      <c r="A916" s="12">
        <v>41088</v>
      </c>
      <c r="B916" s="14" t="s">
        <v>931</v>
      </c>
      <c r="C916" s="14"/>
      <c r="D916" s="14"/>
      <c r="E916" s="1">
        <v>16</v>
      </c>
      <c r="F916" s="1">
        <f t="shared" si="29"/>
        <v>27.75</v>
      </c>
      <c r="G916" s="1">
        <v>26</v>
      </c>
      <c r="H916" s="1">
        <f t="shared" si="30"/>
        <v>36.5</v>
      </c>
      <c r="I916" s="1">
        <v>42</v>
      </c>
      <c r="J916" s="1">
        <f t="shared" si="31"/>
        <v>52.5</v>
      </c>
      <c r="M916" s="1">
        <v>7</v>
      </c>
      <c r="P916" s="2" t="s">
        <v>551</v>
      </c>
      <c r="Q916" s="2" t="s">
        <v>551</v>
      </c>
      <c r="R916" s="2" t="s">
        <v>551</v>
      </c>
      <c r="S916" s="1">
        <v>26</v>
      </c>
    </row>
    <row r="917" spans="1:19" x14ac:dyDescent="0.25">
      <c r="A917" s="12">
        <v>41095</v>
      </c>
      <c r="B917" s="14" t="s">
        <v>932</v>
      </c>
      <c r="C917" s="14"/>
      <c r="D917" s="14"/>
      <c r="E917" s="1">
        <v>17</v>
      </c>
      <c r="F917" s="1">
        <f t="shared" si="29"/>
        <v>27.5</v>
      </c>
      <c r="G917" s="1">
        <v>45</v>
      </c>
      <c r="H917" s="1">
        <f t="shared" si="30"/>
        <v>33.25</v>
      </c>
      <c r="I917" s="1">
        <v>41</v>
      </c>
      <c r="J917" s="1">
        <f t="shared" si="31"/>
        <v>50.25</v>
      </c>
      <c r="M917" s="1">
        <v>8</v>
      </c>
      <c r="P917" s="2" t="s">
        <v>551</v>
      </c>
      <c r="Q917" s="2" t="s">
        <v>551</v>
      </c>
      <c r="R917" s="2" t="s">
        <v>551</v>
      </c>
      <c r="S917" s="1">
        <v>27</v>
      </c>
    </row>
    <row r="918" spans="1:19" x14ac:dyDescent="0.25">
      <c r="A918" s="12">
        <v>41102</v>
      </c>
      <c r="B918" s="14" t="s">
        <v>933</v>
      </c>
      <c r="C918" s="14"/>
      <c r="D918" s="14"/>
      <c r="E918" s="1">
        <v>22</v>
      </c>
      <c r="F918" s="1">
        <f t="shared" si="29"/>
        <v>24.5</v>
      </c>
      <c r="G918" s="1">
        <v>23</v>
      </c>
      <c r="H918" s="1">
        <f t="shared" si="30"/>
        <v>37.5</v>
      </c>
      <c r="I918" s="1">
        <v>35</v>
      </c>
      <c r="J918" s="1">
        <f t="shared" si="31"/>
        <v>52.5</v>
      </c>
      <c r="M918" s="1">
        <v>7</v>
      </c>
      <c r="P918" s="2" t="s">
        <v>551</v>
      </c>
      <c r="Q918" s="2" t="s">
        <v>551</v>
      </c>
      <c r="R918" s="2" t="s">
        <v>551</v>
      </c>
      <c r="S918" s="1">
        <v>28</v>
      </c>
    </row>
    <row r="919" spans="1:19" x14ac:dyDescent="0.25">
      <c r="A919" s="12">
        <v>41109</v>
      </c>
      <c r="B919" s="14" t="s">
        <v>934</v>
      </c>
      <c r="C919" s="14"/>
      <c r="D919" s="14"/>
      <c r="E919" s="1">
        <v>24</v>
      </c>
      <c r="F919" s="1">
        <f t="shared" si="29"/>
        <v>26.75</v>
      </c>
      <c r="G919" s="1">
        <v>24</v>
      </c>
      <c r="H919" s="1">
        <f t="shared" si="30"/>
        <v>42</v>
      </c>
      <c r="I919" s="1">
        <v>49</v>
      </c>
      <c r="J919" s="1">
        <f t="shared" si="31"/>
        <v>48.75</v>
      </c>
      <c r="M919" s="1">
        <v>7</v>
      </c>
      <c r="P919" s="2" t="s">
        <v>551</v>
      </c>
      <c r="Q919" s="2" t="s">
        <v>551</v>
      </c>
      <c r="R919" s="2" t="s">
        <v>551</v>
      </c>
      <c r="S919" s="1">
        <v>29</v>
      </c>
    </row>
    <row r="920" spans="1:19" x14ac:dyDescent="0.25">
      <c r="A920" s="12">
        <v>41116</v>
      </c>
      <c r="B920" s="14" t="s">
        <v>935</v>
      </c>
      <c r="C920" s="14"/>
      <c r="D920" s="14"/>
      <c r="E920" s="1">
        <v>23</v>
      </c>
      <c r="F920" s="1">
        <f t="shared" si="29"/>
        <v>27.75</v>
      </c>
      <c r="G920" s="1">
        <v>37</v>
      </c>
      <c r="H920" s="1">
        <f t="shared" si="30"/>
        <v>37</v>
      </c>
      <c r="I920" s="1">
        <v>44</v>
      </c>
      <c r="J920" s="1">
        <f t="shared" si="31"/>
        <v>55.75</v>
      </c>
      <c r="M920" s="1">
        <v>8</v>
      </c>
      <c r="P920" s="2" t="s">
        <v>551</v>
      </c>
      <c r="Q920" s="2" t="s">
        <v>551</v>
      </c>
      <c r="R920" s="2" t="s">
        <v>551</v>
      </c>
      <c r="S920" s="1">
        <v>30</v>
      </c>
    </row>
    <row r="921" spans="1:19" x14ac:dyDescent="0.25">
      <c r="A921" s="12">
        <v>41123</v>
      </c>
      <c r="B921" s="14" t="s">
        <v>936</v>
      </c>
      <c r="C921" s="14"/>
      <c r="D921" s="14"/>
      <c r="E921" s="1">
        <v>22</v>
      </c>
      <c r="F921" s="1">
        <f t="shared" si="29"/>
        <v>29.75</v>
      </c>
      <c r="G921" s="1">
        <v>34</v>
      </c>
      <c r="H921" s="1">
        <f t="shared" si="30"/>
        <v>37.75</v>
      </c>
      <c r="I921" s="1">
        <v>42</v>
      </c>
      <c r="J921" s="1">
        <f t="shared" si="31"/>
        <v>55.25</v>
      </c>
      <c r="M921" s="1">
        <v>11</v>
      </c>
      <c r="P921" s="2" t="s">
        <v>551</v>
      </c>
      <c r="Q921" s="2" t="s">
        <v>551</v>
      </c>
      <c r="R921" s="2" t="s">
        <v>551</v>
      </c>
      <c r="S921" s="1">
        <v>31</v>
      </c>
    </row>
    <row r="922" spans="1:19" x14ac:dyDescent="0.25">
      <c r="A922" s="12">
        <v>41130</v>
      </c>
      <c r="B922" s="14" t="s">
        <v>937</v>
      </c>
      <c r="C922" s="14"/>
      <c r="D922" s="14"/>
      <c r="E922" s="1">
        <v>22</v>
      </c>
      <c r="F922" s="1">
        <f t="shared" si="29"/>
        <v>30.75</v>
      </c>
      <c r="G922" s="1">
        <v>28</v>
      </c>
      <c r="H922" s="1">
        <f t="shared" si="30"/>
        <v>39.75</v>
      </c>
      <c r="I922" s="1">
        <v>46</v>
      </c>
      <c r="J922" s="1">
        <f t="shared" si="31"/>
        <v>51.5</v>
      </c>
      <c r="M922" s="1">
        <v>13</v>
      </c>
      <c r="P922" s="2" t="s">
        <v>551</v>
      </c>
      <c r="Q922" s="2" t="s">
        <v>551</v>
      </c>
      <c r="R922" s="2" t="s">
        <v>551</v>
      </c>
      <c r="S922" s="1">
        <v>32</v>
      </c>
    </row>
    <row r="923" spans="1:19" x14ac:dyDescent="0.25">
      <c r="A923" s="12">
        <v>41137</v>
      </c>
      <c r="B923" s="14" t="s">
        <v>938</v>
      </c>
      <c r="C923" s="14"/>
      <c r="D923" s="14"/>
      <c r="E923" s="1">
        <v>20</v>
      </c>
      <c r="F923" s="1">
        <f t="shared" si="29"/>
        <v>33</v>
      </c>
      <c r="G923" s="1">
        <v>36</v>
      </c>
      <c r="H923" s="1">
        <f t="shared" si="30"/>
        <v>38.5</v>
      </c>
      <c r="I923" s="1">
        <v>50</v>
      </c>
      <c r="J923" s="1">
        <f t="shared" si="31"/>
        <v>49</v>
      </c>
      <c r="M923" s="1">
        <v>12</v>
      </c>
      <c r="P923" s="2" t="s">
        <v>551</v>
      </c>
      <c r="Q923" s="2" t="s">
        <v>551</v>
      </c>
      <c r="R923" s="2" t="s">
        <v>551</v>
      </c>
      <c r="S923" s="1">
        <v>33</v>
      </c>
    </row>
    <row r="924" spans="1:19" x14ac:dyDescent="0.25">
      <c r="A924" s="12">
        <v>41144</v>
      </c>
      <c r="B924" s="14" t="s">
        <v>939</v>
      </c>
      <c r="C924" s="14"/>
      <c r="D924" s="14"/>
      <c r="E924" s="1">
        <v>21</v>
      </c>
      <c r="F924" s="1">
        <f t="shared" si="29"/>
        <v>33.5</v>
      </c>
      <c r="G924" s="1">
        <v>29</v>
      </c>
      <c r="H924" s="1">
        <f t="shared" si="30"/>
        <v>41</v>
      </c>
      <c r="I924" s="1">
        <v>48</v>
      </c>
      <c r="J924" s="1">
        <f t="shared" si="31"/>
        <v>49.25</v>
      </c>
      <c r="M924" s="1">
        <v>14</v>
      </c>
      <c r="P924" s="2" t="s">
        <v>551</v>
      </c>
      <c r="Q924" s="2" t="s">
        <v>551</v>
      </c>
      <c r="R924" s="2" t="s">
        <v>551</v>
      </c>
      <c r="S924" s="1">
        <v>34</v>
      </c>
    </row>
    <row r="925" spans="1:19" x14ac:dyDescent="0.25">
      <c r="A925" s="12">
        <v>41151</v>
      </c>
      <c r="B925" s="14" t="s">
        <v>940</v>
      </c>
      <c r="C925" s="14"/>
      <c r="D925" s="14"/>
      <c r="E925" s="1">
        <v>16</v>
      </c>
      <c r="F925" s="1">
        <f t="shared" si="29"/>
        <v>32.75</v>
      </c>
      <c r="G925" s="1">
        <v>29</v>
      </c>
      <c r="H925" s="1">
        <f t="shared" si="30"/>
        <v>34.25</v>
      </c>
      <c r="I925" s="1">
        <v>52</v>
      </c>
      <c r="J925" s="1">
        <f t="shared" si="31"/>
        <v>54.5</v>
      </c>
      <c r="M925" s="1">
        <v>8</v>
      </c>
      <c r="P925" s="2" t="s">
        <v>551</v>
      </c>
      <c r="Q925" s="2" t="s">
        <v>551</v>
      </c>
      <c r="R925" s="2" t="s">
        <v>551</v>
      </c>
      <c r="S925" s="1">
        <v>35</v>
      </c>
    </row>
    <row r="926" spans="1:19" x14ac:dyDescent="0.25">
      <c r="A926" s="12">
        <v>41158</v>
      </c>
      <c r="B926" s="14" t="s">
        <v>941</v>
      </c>
      <c r="C926" s="14"/>
      <c r="D926" s="14"/>
      <c r="E926" s="1">
        <v>22</v>
      </c>
      <c r="F926" s="1">
        <f t="shared" si="29"/>
        <v>34</v>
      </c>
      <c r="G926" s="1">
        <v>13</v>
      </c>
      <c r="H926" s="1">
        <f t="shared" si="30"/>
        <v>32.5</v>
      </c>
      <c r="I926" s="1">
        <v>78</v>
      </c>
      <c r="J926" s="1">
        <f t="shared" si="31"/>
        <v>50.25</v>
      </c>
      <c r="M926" s="1">
        <v>8</v>
      </c>
      <c r="P926" s="2" t="s">
        <v>551</v>
      </c>
      <c r="Q926" s="2" t="s">
        <v>551</v>
      </c>
      <c r="R926" s="2" t="s">
        <v>551</v>
      </c>
      <c r="S926" s="1">
        <v>36</v>
      </c>
    </row>
    <row r="927" spans="1:19" x14ac:dyDescent="0.25">
      <c r="A927" s="12">
        <v>41165</v>
      </c>
      <c r="B927" s="14" t="s">
        <v>942</v>
      </c>
      <c r="C927" s="14"/>
      <c r="D927" s="14"/>
      <c r="E927" s="1">
        <v>45</v>
      </c>
      <c r="F927" s="1">
        <f t="shared" si="29"/>
        <v>31.75</v>
      </c>
      <c r="G927" s="1">
        <v>30</v>
      </c>
      <c r="H927" s="1">
        <f t="shared" si="30"/>
        <v>38.5</v>
      </c>
      <c r="I927" s="1">
        <v>55</v>
      </c>
      <c r="J927" s="1">
        <f t="shared" si="31"/>
        <v>52.75</v>
      </c>
      <c r="M927" s="1">
        <v>12</v>
      </c>
      <c r="P927" s="2" t="s">
        <v>551</v>
      </c>
      <c r="Q927" s="2" t="s">
        <v>551</v>
      </c>
      <c r="R927" s="2" t="s">
        <v>551</v>
      </c>
      <c r="S927" s="1">
        <v>37</v>
      </c>
    </row>
    <row r="928" spans="1:19" x14ac:dyDescent="0.25">
      <c r="A928" s="12">
        <v>41172</v>
      </c>
      <c r="B928" s="14" t="s">
        <v>943</v>
      </c>
      <c r="C928" s="14"/>
      <c r="D928" s="14"/>
      <c r="E928" s="1">
        <v>39</v>
      </c>
      <c r="F928" s="1">
        <f t="shared" si="29"/>
        <v>33.5</v>
      </c>
      <c r="G928" s="1">
        <v>40</v>
      </c>
      <c r="H928" s="1">
        <f t="shared" si="30"/>
        <v>41.5</v>
      </c>
      <c r="I928" s="1">
        <v>51</v>
      </c>
      <c r="J928" s="1">
        <f t="shared" si="31"/>
        <v>59.25</v>
      </c>
      <c r="M928" s="1">
        <v>11</v>
      </c>
      <c r="P928" s="2" t="s">
        <v>551</v>
      </c>
      <c r="Q928" s="2" t="s">
        <v>551</v>
      </c>
      <c r="R928" s="2" t="s">
        <v>551</v>
      </c>
      <c r="S928" s="1">
        <v>38</v>
      </c>
    </row>
    <row r="929" spans="1:19" x14ac:dyDescent="0.25">
      <c r="A929" s="12">
        <v>41179</v>
      </c>
      <c r="B929" s="14" t="s">
        <v>944</v>
      </c>
      <c r="C929" s="14"/>
      <c r="D929" s="14"/>
      <c r="E929" s="1">
        <v>45</v>
      </c>
      <c r="F929" s="1">
        <f t="shared" si="29"/>
        <v>37.75</v>
      </c>
      <c r="G929" s="1">
        <v>33</v>
      </c>
      <c r="H929" s="1">
        <f t="shared" si="30"/>
        <v>41</v>
      </c>
      <c r="I929" s="1">
        <v>47</v>
      </c>
      <c r="J929" s="1">
        <f t="shared" si="31"/>
        <v>62</v>
      </c>
      <c r="M929" s="1">
        <v>7</v>
      </c>
      <c r="P929" s="2" t="s">
        <v>551</v>
      </c>
      <c r="Q929" s="2" t="s">
        <v>551</v>
      </c>
      <c r="R929" s="2" t="s">
        <v>551</v>
      </c>
      <c r="S929" s="1">
        <v>39</v>
      </c>
    </row>
    <row r="930" spans="1:19" x14ac:dyDescent="0.25">
      <c r="A930" s="12">
        <v>41186</v>
      </c>
      <c r="B930" s="14" t="s">
        <v>945</v>
      </c>
      <c r="C930" s="14"/>
      <c r="D930" s="14"/>
      <c r="E930" s="1">
        <v>48</v>
      </c>
      <c r="F930" s="1">
        <f t="shared" si="29"/>
        <v>35</v>
      </c>
      <c r="G930" s="1">
        <v>34</v>
      </c>
      <c r="H930" s="1">
        <f t="shared" si="30"/>
        <v>38.5</v>
      </c>
      <c r="I930" s="1">
        <v>52</v>
      </c>
      <c r="J930" s="1">
        <f t="shared" si="31"/>
        <v>62.5</v>
      </c>
      <c r="M930" s="1">
        <v>10</v>
      </c>
      <c r="P930" s="2" t="s">
        <v>551</v>
      </c>
      <c r="Q930" s="2" t="s">
        <v>551</v>
      </c>
      <c r="R930" s="2" t="s">
        <v>551</v>
      </c>
      <c r="S930" s="1">
        <v>40</v>
      </c>
    </row>
    <row r="931" spans="1:19" x14ac:dyDescent="0.25">
      <c r="A931" s="12">
        <v>41193</v>
      </c>
      <c r="B931" s="14" t="s">
        <v>946</v>
      </c>
      <c r="C931" s="14"/>
      <c r="D931" s="14"/>
      <c r="E931" s="1">
        <v>50</v>
      </c>
      <c r="F931" s="1">
        <f t="shared" si="29"/>
        <v>39</v>
      </c>
      <c r="G931" s="1">
        <v>41</v>
      </c>
      <c r="H931" s="1">
        <f t="shared" si="30"/>
        <v>40.75</v>
      </c>
      <c r="I931" s="1">
        <v>64</v>
      </c>
      <c r="J931" s="1">
        <f t="shared" si="31"/>
        <v>58.75</v>
      </c>
      <c r="M931" s="1">
        <v>12</v>
      </c>
      <c r="P931" s="2" t="s">
        <v>551</v>
      </c>
      <c r="Q931" s="2" t="s">
        <v>551</v>
      </c>
      <c r="R931" s="2" t="s">
        <v>551</v>
      </c>
      <c r="S931" s="1">
        <v>41</v>
      </c>
    </row>
    <row r="932" spans="1:19" x14ac:dyDescent="0.25">
      <c r="A932" s="12">
        <v>41200</v>
      </c>
      <c r="B932" s="14" t="s">
        <v>947</v>
      </c>
      <c r="C932" s="14"/>
      <c r="D932" s="14"/>
      <c r="E932" s="1">
        <v>49</v>
      </c>
      <c r="F932" s="1">
        <f t="shared" si="29"/>
        <v>39</v>
      </c>
      <c r="G932" s="1">
        <v>46</v>
      </c>
      <c r="H932" s="1">
        <f t="shared" si="30"/>
        <v>44.5</v>
      </c>
      <c r="I932" s="1">
        <v>60</v>
      </c>
      <c r="J932" s="1">
        <f t="shared" si="31"/>
        <v>62</v>
      </c>
      <c r="M932" s="1">
        <v>16</v>
      </c>
      <c r="P932" s="2" t="s">
        <v>551</v>
      </c>
      <c r="Q932" s="2" t="s">
        <v>551</v>
      </c>
      <c r="R932" s="2" t="s">
        <v>551</v>
      </c>
      <c r="S932" s="1">
        <v>42</v>
      </c>
    </row>
    <row r="933" spans="1:19" x14ac:dyDescent="0.25">
      <c r="A933" s="12">
        <v>41207</v>
      </c>
      <c r="B933" s="14" t="s">
        <v>948</v>
      </c>
      <c r="C933" s="14"/>
      <c r="D933" s="14"/>
      <c r="E933" s="1">
        <v>50</v>
      </c>
      <c r="F933" s="1">
        <f t="shared" si="29"/>
        <v>41.75</v>
      </c>
      <c r="G933" s="1">
        <v>39</v>
      </c>
      <c r="H933" s="1">
        <f t="shared" si="30"/>
        <v>43.75</v>
      </c>
      <c r="I933" s="1">
        <v>57</v>
      </c>
      <c r="J933" s="1">
        <f t="shared" si="31"/>
        <v>64</v>
      </c>
      <c r="M933" s="1">
        <v>17</v>
      </c>
      <c r="P933" s="2" t="s">
        <v>551</v>
      </c>
      <c r="Q933" s="2" t="s">
        <v>551</v>
      </c>
      <c r="R933" s="2" t="s">
        <v>551</v>
      </c>
      <c r="S933" s="1">
        <v>43</v>
      </c>
    </row>
    <row r="934" spans="1:19" x14ac:dyDescent="0.25">
      <c r="A934" s="12">
        <v>41214</v>
      </c>
      <c r="B934" s="14" t="s">
        <v>949</v>
      </c>
      <c r="C934" s="14"/>
      <c r="D934" s="14"/>
      <c r="E934" s="1">
        <v>42</v>
      </c>
      <c r="F934" s="1">
        <f t="shared" si="29"/>
        <v>45</v>
      </c>
      <c r="G934" s="1">
        <v>41</v>
      </c>
      <c r="H934" s="1">
        <f t="shared" si="30"/>
        <v>41</v>
      </c>
      <c r="I934" s="1">
        <v>58</v>
      </c>
      <c r="J934" s="1">
        <f t="shared" si="31"/>
        <v>66.75</v>
      </c>
      <c r="M934" s="1">
        <v>12</v>
      </c>
      <c r="P934" s="2" t="s">
        <v>551</v>
      </c>
      <c r="Q934" s="2" t="s">
        <v>551</v>
      </c>
      <c r="R934" s="2" t="s">
        <v>551</v>
      </c>
      <c r="S934" s="1">
        <v>44</v>
      </c>
    </row>
    <row r="935" spans="1:19" x14ac:dyDescent="0.25">
      <c r="A935" s="12">
        <v>41221</v>
      </c>
      <c r="B935" s="14" t="s">
        <v>950</v>
      </c>
      <c r="C935" s="14"/>
      <c r="D935" s="14"/>
      <c r="E935" s="1">
        <v>44</v>
      </c>
      <c r="F935" s="1">
        <f t="shared" si="29"/>
        <v>42.25</v>
      </c>
      <c r="G935" s="1">
        <v>36</v>
      </c>
      <c r="H935" s="1">
        <f t="shared" si="30"/>
        <v>44</v>
      </c>
      <c r="I935" s="1">
        <v>55</v>
      </c>
      <c r="J935" s="1">
        <f t="shared" si="31"/>
        <v>66.25</v>
      </c>
      <c r="M935" s="1">
        <v>10</v>
      </c>
      <c r="P935" s="2" t="s">
        <v>551</v>
      </c>
      <c r="Q935" s="2" t="s">
        <v>551</v>
      </c>
      <c r="R935" s="2" t="s">
        <v>551</v>
      </c>
      <c r="S935" s="1">
        <v>45</v>
      </c>
    </row>
    <row r="936" spans="1:19" x14ac:dyDescent="0.25">
      <c r="A936" s="12">
        <v>41228</v>
      </c>
      <c r="B936" s="14" t="s">
        <v>951</v>
      </c>
      <c r="C936" s="14"/>
      <c r="D936" s="14"/>
      <c r="E936" s="1">
        <v>39</v>
      </c>
      <c r="F936" s="1">
        <f t="shared" si="29"/>
        <v>47.75</v>
      </c>
      <c r="G936" s="1">
        <v>44</v>
      </c>
      <c r="H936" s="1">
        <f t="shared" si="30"/>
        <v>46.5</v>
      </c>
      <c r="I936" s="1">
        <v>43</v>
      </c>
      <c r="J936" s="1">
        <f t="shared" si="31"/>
        <v>59.5</v>
      </c>
      <c r="M936" s="1">
        <v>16</v>
      </c>
      <c r="P936" s="2" t="s">
        <v>551</v>
      </c>
      <c r="Q936" s="2" t="s">
        <v>551</v>
      </c>
      <c r="R936" s="2" t="s">
        <v>551</v>
      </c>
      <c r="S936" s="1">
        <v>46</v>
      </c>
    </row>
    <row r="937" spans="1:19" x14ac:dyDescent="0.25">
      <c r="A937" s="12">
        <v>41235</v>
      </c>
      <c r="B937" s="14" t="s">
        <v>952</v>
      </c>
      <c r="C937" s="14"/>
      <c r="D937" s="14"/>
      <c r="E937" s="1">
        <v>33</v>
      </c>
      <c r="F937" s="1">
        <f t="shared" si="29"/>
        <v>41.5</v>
      </c>
      <c r="G937" s="1">
        <v>36</v>
      </c>
      <c r="H937" s="1">
        <f t="shared" si="30"/>
        <v>46.5</v>
      </c>
      <c r="I937" s="1">
        <v>55</v>
      </c>
      <c r="J937" s="1">
        <f t="shared" si="31"/>
        <v>60.25</v>
      </c>
      <c r="M937" s="2" t="s">
        <v>551</v>
      </c>
      <c r="P937" s="2" t="s">
        <v>551</v>
      </c>
      <c r="Q937" s="2" t="s">
        <v>551</v>
      </c>
      <c r="R937" s="2" t="s">
        <v>551</v>
      </c>
      <c r="S937" s="1">
        <v>47</v>
      </c>
    </row>
    <row r="938" spans="1:19" x14ac:dyDescent="0.25">
      <c r="A938" s="12">
        <v>41242</v>
      </c>
      <c r="B938" s="14" t="s">
        <v>953</v>
      </c>
      <c r="C938" s="14"/>
      <c r="D938" s="14"/>
      <c r="E938" s="1">
        <v>32</v>
      </c>
      <c r="F938" s="1">
        <f t="shared" si="29"/>
        <v>40.25</v>
      </c>
      <c r="G938" s="1">
        <v>41</v>
      </c>
      <c r="H938" s="1">
        <f t="shared" si="30"/>
        <v>42.25</v>
      </c>
      <c r="I938" s="1">
        <v>53</v>
      </c>
      <c r="J938" s="1">
        <f t="shared" si="31"/>
        <v>62</v>
      </c>
      <c r="M938" s="1">
        <v>16</v>
      </c>
      <c r="P938" s="2" t="s">
        <v>551</v>
      </c>
      <c r="Q938" s="2" t="s">
        <v>551</v>
      </c>
      <c r="R938" s="2" t="s">
        <v>551</v>
      </c>
      <c r="S938" s="1">
        <v>48</v>
      </c>
    </row>
    <row r="939" spans="1:19" x14ac:dyDescent="0.25">
      <c r="A939" s="12">
        <v>41249</v>
      </c>
      <c r="B939" s="14" t="s">
        <v>954</v>
      </c>
      <c r="C939" s="14"/>
      <c r="D939" s="14"/>
      <c r="E939" s="1">
        <v>41</v>
      </c>
      <c r="F939" s="1">
        <f t="shared" si="29"/>
        <v>40</v>
      </c>
      <c r="G939" s="1">
        <v>41</v>
      </c>
      <c r="H939" s="1">
        <f t="shared" si="30"/>
        <v>40.75</v>
      </c>
      <c r="I939" s="1">
        <v>48</v>
      </c>
      <c r="J939" s="1">
        <f t="shared" si="31"/>
        <v>62</v>
      </c>
      <c r="M939" s="1">
        <v>11</v>
      </c>
      <c r="P939" s="2" t="s">
        <v>551</v>
      </c>
      <c r="Q939" s="2" t="s">
        <v>551</v>
      </c>
      <c r="R939" s="2" t="s">
        <v>551</v>
      </c>
      <c r="S939" s="1">
        <v>49</v>
      </c>
    </row>
    <row r="940" spans="1:19" x14ac:dyDescent="0.25">
      <c r="A940" s="12">
        <v>41256</v>
      </c>
      <c r="B940" s="14" t="s">
        <v>955</v>
      </c>
      <c r="C940" s="14"/>
      <c r="D940" s="14"/>
      <c r="E940" s="1">
        <v>39</v>
      </c>
      <c r="F940" s="1">
        <f t="shared" si="29"/>
        <v>39.25</v>
      </c>
      <c r="G940" s="1">
        <v>39</v>
      </c>
      <c r="H940" s="1">
        <f t="shared" si="30"/>
        <v>40.25</v>
      </c>
      <c r="I940" s="1">
        <v>41</v>
      </c>
      <c r="J940" s="1">
        <f t="shared" si="31"/>
        <v>50.75</v>
      </c>
      <c r="M940" s="1">
        <v>9</v>
      </c>
      <c r="P940" s="2" t="s">
        <v>551</v>
      </c>
      <c r="Q940" s="2" t="s">
        <v>551</v>
      </c>
      <c r="R940" s="2" t="s">
        <v>551</v>
      </c>
      <c r="S940" s="1">
        <v>50</v>
      </c>
    </row>
    <row r="941" spans="1:19" x14ac:dyDescent="0.25">
      <c r="A941" s="12">
        <v>41263</v>
      </c>
      <c r="B941" s="14" t="s">
        <v>956</v>
      </c>
      <c r="C941" s="14"/>
      <c r="D941" s="14"/>
      <c r="E941" s="1">
        <v>39</v>
      </c>
      <c r="F941" s="1">
        <f t="shared" si="29"/>
        <v>33.5</v>
      </c>
      <c r="G941" s="1">
        <v>25</v>
      </c>
      <c r="H941" s="1">
        <f t="shared" si="30"/>
        <v>40.5</v>
      </c>
      <c r="I941" s="1">
        <v>44</v>
      </c>
      <c r="J941" s="1">
        <f t="shared" si="31"/>
        <v>51</v>
      </c>
      <c r="M941" s="1">
        <v>15</v>
      </c>
      <c r="P941" s="2" t="s">
        <v>551</v>
      </c>
      <c r="Q941" s="2" t="s">
        <v>551</v>
      </c>
      <c r="R941" s="2" t="s">
        <v>551</v>
      </c>
      <c r="S941" s="1">
        <v>51</v>
      </c>
    </row>
    <row r="942" spans="1:19" x14ac:dyDescent="0.25">
      <c r="A942" s="12">
        <v>41270</v>
      </c>
      <c r="B942" s="14" t="s">
        <v>957</v>
      </c>
      <c r="C942" s="14"/>
      <c r="D942" s="14"/>
      <c r="E942" s="1">
        <v>29</v>
      </c>
      <c r="F942" s="1">
        <f t="shared" si="29"/>
        <v>37.75</v>
      </c>
      <c r="G942" s="1">
        <v>20</v>
      </c>
      <c r="H942" s="1">
        <f t="shared" si="30"/>
        <v>39</v>
      </c>
      <c r="I942" s="1">
        <v>54</v>
      </c>
      <c r="J942" s="1">
        <f t="shared" si="31"/>
        <v>59</v>
      </c>
      <c r="M942" s="1">
        <v>20</v>
      </c>
      <c r="P942" s="2" t="s">
        <v>551</v>
      </c>
      <c r="Q942" s="2" t="s">
        <v>551</v>
      </c>
      <c r="R942" s="2" t="s">
        <v>551</v>
      </c>
      <c r="S942" s="1">
        <v>52</v>
      </c>
    </row>
    <row r="943" spans="1:19" x14ac:dyDescent="0.25">
      <c r="A943" s="12">
        <v>41277</v>
      </c>
      <c r="B943" s="14" t="s">
        <v>958</v>
      </c>
      <c r="C943" s="14"/>
      <c r="D943" s="14"/>
      <c r="E943" s="1">
        <v>26</v>
      </c>
      <c r="F943" s="1">
        <f t="shared" si="29"/>
        <v>36.5</v>
      </c>
      <c r="G943" s="1">
        <v>27</v>
      </c>
      <c r="H943" s="1">
        <f t="shared" si="30"/>
        <v>40</v>
      </c>
      <c r="I943" s="1">
        <v>47</v>
      </c>
      <c r="J943" s="1">
        <f t="shared" si="31"/>
        <v>61.75</v>
      </c>
      <c r="M943" s="1">
        <v>11</v>
      </c>
      <c r="P943" s="2" t="s">
        <v>551</v>
      </c>
      <c r="Q943" s="2" t="s">
        <v>551</v>
      </c>
      <c r="R943" s="2" t="s">
        <v>551</v>
      </c>
      <c r="S943" s="1">
        <v>1</v>
      </c>
    </row>
    <row r="944" spans="1:19" x14ac:dyDescent="0.25">
      <c r="A944" s="12">
        <v>41284</v>
      </c>
      <c r="B944" s="14" t="s">
        <v>959</v>
      </c>
      <c r="C944" s="14"/>
      <c r="D944" s="14"/>
      <c r="E944" s="1">
        <v>20</v>
      </c>
      <c r="F944" s="1">
        <f t="shared" si="29"/>
        <v>36</v>
      </c>
      <c r="G944" s="1">
        <v>32</v>
      </c>
      <c r="H944" s="1">
        <f t="shared" si="30"/>
        <v>41</v>
      </c>
      <c r="I944" s="1">
        <v>55</v>
      </c>
      <c r="J944" s="1">
        <f t="shared" si="31"/>
        <v>67</v>
      </c>
      <c r="M944" s="1">
        <v>16</v>
      </c>
      <c r="P944" s="2" t="s">
        <v>551</v>
      </c>
      <c r="Q944" s="2" t="s">
        <v>551</v>
      </c>
      <c r="R944" s="2" t="s">
        <v>551</v>
      </c>
      <c r="S944" s="1">
        <v>2</v>
      </c>
    </row>
    <row r="945" spans="1:19" x14ac:dyDescent="0.25">
      <c r="A945" s="12">
        <v>41291</v>
      </c>
      <c r="B945" s="14" t="s">
        <v>960</v>
      </c>
      <c r="C945" s="14"/>
      <c r="D945" s="14"/>
      <c r="E945" s="1">
        <v>38</v>
      </c>
      <c r="F945" s="1">
        <f t="shared" si="29"/>
        <v>43</v>
      </c>
      <c r="G945" s="1">
        <v>24</v>
      </c>
      <c r="H945" s="1">
        <f t="shared" si="30"/>
        <v>46.25</v>
      </c>
      <c r="I945" s="1">
        <v>58</v>
      </c>
      <c r="J945" s="1">
        <f t="shared" si="31"/>
        <v>66.75</v>
      </c>
      <c r="M945" s="1">
        <v>16</v>
      </c>
      <c r="P945" s="2" t="s">
        <v>551</v>
      </c>
      <c r="Q945" s="2" t="s">
        <v>551</v>
      </c>
      <c r="R945" s="2" t="s">
        <v>551</v>
      </c>
      <c r="S945" s="1">
        <v>3</v>
      </c>
    </row>
    <row r="946" spans="1:19" x14ac:dyDescent="0.25">
      <c r="A946" s="12">
        <v>41298</v>
      </c>
      <c r="B946" s="14" t="s">
        <v>961</v>
      </c>
      <c r="C946" s="14"/>
      <c r="D946" s="14"/>
      <c r="E946" s="1">
        <v>40</v>
      </c>
      <c r="F946" s="1">
        <f t="shared" si="29"/>
        <v>44</v>
      </c>
      <c r="G946" s="1">
        <v>42</v>
      </c>
      <c r="H946" s="1">
        <f t="shared" si="30"/>
        <v>44.5</v>
      </c>
      <c r="I946" s="1">
        <v>49</v>
      </c>
      <c r="J946" s="1">
        <f t="shared" si="31"/>
        <v>70</v>
      </c>
      <c r="M946" s="1">
        <v>13</v>
      </c>
      <c r="P946" s="2" t="s">
        <v>551</v>
      </c>
      <c r="Q946" s="2" t="s">
        <v>551</v>
      </c>
      <c r="R946" s="2" t="s">
        <v>551</v>
      </c>
      <c r="S946" s="1">
        <v>4</v>
      </c>
    </row>
    <row r="947" spans="1:19" x14ac:dyDescent="0.25">
      <c r="A947" s="12">
        <v>41305</v>
      </c>
      <c r="B947" s="14" t="s">
        <v>962</v>
      </c>
      <c r="C947" s="14"/>
      <c r="D947" s="14"/>
      <c r="E947" s="1">
        <v>33</v>
      </c>
      <c r="F947" s="1">
        <f t="shared" si="29"/>
        <v>51.25</v>
      </c>
      <c r="G947" s="1">
        <v>39</v>
      </c>
      <c r="H947" s="1">
        <f t="shared" si="30"/>
        <v>43.75</v>
      </c>
      <c r="I947" s="1">
        <v>47</v>
      </c>
      <c r="J947" s="1">
        <f t="shared" si="31"/>
        <v>63.75</v>
      </c>
      <c r="M947" s="1">
        <v>18</v>
      </c>
      <c r="P947" s="2" t="s">
        <v>551</v>
      </c>
      <c r="Q947" s="2" t="s">
        <v>551</v>
      </c>
      <c r="R947" s="2" t="s">
        <v>551</v>
      </c>
      <c r="S947" s="1">
        <v>5</v>
      </c>
    </row>
    <row r="948" spans="1:19" x14ac:dyDescent="0.25">
      <c r="A948" s="12">
        <v>41312</v>
      </c>
      <c r="B948" s="14" t="s">
        <v>963</v>
      </c>
      <c r="C948" s="14"/>
      <c r="D948" s="14"/>
      <c r="E948" s="1">
        <v>37</v>
      </c>
      <c r="F948" s="1">
        <f t="shared" si="29"/>
        <v>46.5</v>
      </c>
      <c r="G948" s="1">
        <v>32</v>
      </c>
      <c r="H948" s="1">
        <f t="shared" si="30"/>
        <v>44.25</v>
      </c>
      <c r="I948" s="1">
        <v>44</v>
      </c>
      <c r="J948" s="1">
        <f t="shared" si="31"/>
        <v>63.5</v>
      </c>
      <c r="M948" s="1">
        <v>15</v>
      </c>
      <c r="P948" s="2" t="s">
        <v>551</v>
      </c>
      <c r="Q948" s="2" t="s">
        <v>551</v>
      </c>
      <c r="R948" s="2" t="s">
        <v>551</v>
      </c>
      <c r="S948" s="1">
        <v>6</v>
      </c>
    </row>
    <row r="949" spans="1:19" x14ac:dyDescent="0.25">
      <c r="A949" s="12">
        <v>41319</v>
      </c>
      <c r="B949" s="14" t="s">
        <v>964</v>
      </c>
      <c r="C949" s="14"/>
      <c r="D949" s="14"/>
      <c r="E949" s="1">
        <v>33</v>
      </c>
      <c r="F949" s="1">
        <f t="shared" si="29"/>
        <v>47</v>
      </c>
      <c r="G949" s="1">
        <v>36</v>
      </c>
      <c r="H949" s="1">
        <f t="shared" si="30"/>
        <v>43.25</v>
      </c>
      <c r="I949" s="1">
        <v>40</v>
      </c>
      <c r="J949" s="1">
        <f t="shared" si="31"/>
        <v>58.25</v>
      </c>
      <c r="M949" s="1">
        <v>16</v>
      </c>
      <c r="P949" s="2" t="s">
        <v>551</v>
      </c>
      <c r="Q949" s="2" t="s">
        <v>551</v>
      </c>
      <c r="R949" s="2" t="s">
        <v>551</v>
      </c>
      <c r="S949" s="1">
        <v>7</v>
      </c>
    </row>
    <row r="950" spans="1:19" x14ac:dyDescent="0.25">
      <c r="A950" s="12">
        <v>41326</v>
      </c>
      <c r="B950" s="14" t="s">
        <v>965</v>
      </c>
      <c r="C950" s="14"/>
      <c r="D950" s="14"/>
      <c r="E950" s="1">
        <v>27</v>
      </c>
      <c r="F950" s="1">
        <f t="shared" si="29"/>
        <v>45.25</v>
      </c>
      <c r="G950" s="1">
        <v>34</v>
      </c>
      <c r="H950" s="1">
        <f t="shared" si="30"/>
        <v>41.75</v>
      </c>
      <c r="I950" s="1">
        <v>51</v>
      </c>
      <c r="J950" s="1">
        <f t="shared" si="31"/>
        <v>58.75</v>
      </c>
      <c r="M950" s="1">
        <v>15</v>
      </c>
      <c r="P950" s="2" t="s">
        <v>551</v>
      </c>
      <c r="Q950" s="2" t="s">
        <v>551</v>
      </c>
      <c r="R950" s="2" t="s">
        <v>551</v>
      </c>
      <c r="S950" s="1">
        <v>8</v>
      </c>
    </row>
    <row r="951" spans="1:19" x14ac:dyDescent="0.25">
      <c r="A951" s="12">
        <v>41333</v>
      </c>
      <c r="B951" s="14" t="s">
        <v>966</v>
      </c>
      <c r="C951" s="14"/>
      <c r="D951" s="14"/>
      <c r="E951" s="1">
        <v>28</v>
      </c>
      <c r="F951" s="1">
        <f t="shared" si="29"/>
        <v>48</v>
      </c>
      <c r="G951" s="1">
        <v>33</v>
      </c>
      <c r="H951" s="1">
        <f t="shared" si="30"/>
        <v>41.5</v>
      </c>
      <c r="I951" s="1">
        <v>40</v>
      </c>
      <c r="J951" s="1">
        <f t="shared" si="31"/>
        <v>63.75</v>
      </c>
      <c r="M951" s="1">
        <v>16</v>
      </c>
      <c r="P951" s="2" t="s">
        <v>551</v>
      </c>
      <c r="Q951" s="2" t="s">
        <v>551</v>
      </c>
      <c r="R951" s="2" t="s">
        <v>551</v>
      </c>
      <c r="S951" s="1">
        <v>9</v>
      </c>
    </row>
    <row r="952" spans="1:19" x14ac:dyDescent="0.25">
      <c r="A952" s="12">
        <v>41340</v>
      </c>
      <c r="B952" s="14" t="s">
        <v>967</v>
      </c>
      <c r="C952" s="14"/>
      <c r="D952" s="14"/>
      <c r="E952" s="1">
        <v>22</v>
      </c>
      <c r="F952" s="1">
        <f t="shared" si="29"/>
        <v>48.75</v>
      </c>
      <c r="G952" s="1">
        <v>34</v>
      </c>
      <c r="H952" s="1">
        <f t="shared" si="30"/>
        <v>40.5</v>
      </c>
      <c r="I952" s="1">
        <v>40</v>
      </c>
      <c r="J952" s="1">
        <f t="shared" si="31"/>
        <v>54.5</v>
      </c>
      <c r="M952" s="1">
        <v>12</v>
      </c>
      <c r="P952" s="2" t="s">
        <v>551</v>
      </c>
      <c r="Q952" s="2" t="s">
        <v>551</v>
      </c>
      <c r="R952" s="2" t="s">
        <v>551</v>
      </c>
      <c r="S952" s="1">
        <v>10</v>
      </c>
    </row>
    <row r="953" spans="1:19" x14ac:dyDescent="0.25">
      <c r="A953" s="12">
        <v>41347</v>
      </c>
      <c r="B953" s="14" t="s">
        <v>968</v>
      </c>
      <c r="C953" s="14"/>
      <c r="D953" s="14"/>
      <c r="E953" s="1">
        <v>27</v>
      </c>
      <c r="F953" s="1">
        <f t="shared" si="29"/>
        <v>45</v>
      </c>
      <c r="G953" s="1">
        <v>27</v>
      </c>
      <c r="H953" s="1">
        <f t="shared" si="30"/>
        <v>43.75</v>
      </c>
      <c r="I953" s="1">
        <v>38</v>
      </c>
      <c r="J953" s="1">
        <f t="shared" si="31"/>
        <v>47.75</v>
      </c>
      <c r="M953" s="1">
        <v>13</v>
      </c>
      <c r="P953" s="2" t="s">
        <v>551</v>
      </c>
      <c r="Q953" s="2" t="s">
        <v>551</v>
      </c>
      <c r="R953" s="2" t="s">
        <v>551</v>
      </c>
      <c r="S953" s="1">
        <v>11</v>
      </c>
    </row>
    <row r="954" spans="1:19" x14ac:dyDescent="0.25">
      <c r="A954" s="12">
        <v>41354</v>
      </c>
      <c r="B954" s="14" t="s">
        <v>969</v>
      </c>
      <c r="C954" s="14"/>
      <c r="D954" s="14"/>
      <c r="E954" s="1">
        <v>23</v>
      </c>
      <c r="F954" s="1">
        <f t="shared" si="29"/>
        <v>36.25</v>
      </c>
      <c r="G954" s="1">
        <v>33</v>
      </c>
      <c r="H954" s="1">
        <f t="shared" si="30"/>
        <v>39.5</v>
      </c>
      <c r="I954" s="1">
        <v>42</v>
      </c>
      <c r="J954" s="1">
        <f t="shared" si="31"/>
        <v>47.75</v>
      </c>
      <c r="M954" s="1">
        <v>9</v>
      </c>
      <c r="P954" s="2" t="s">
        <v>551</v>
      </c>
      <c r="Q954" s="2" t="s">
        <v>551</v>
      </c>
      <c r="R954" s="2" t="s">
        <v>551</v>
      </c>
      <c r="S954" s="1">
        <v>12</v>
      </c>
    </row>
    <row r="955" spans="1:19" x14ac:dyDescent="0.25">
      <c r="A955" s="12">
        <v>41361</v>
      </c>
      <c r="B955" s="14" t="s">
        <v>970</v>
      </c>
      <c r="C955" s="14"/>
      <c r="D955" s="14"/>
      <c r="E955" s="1">
        <v>18</v>
      </c>
      <c r="F955" s="1">
        <f t="shared" si="29"/>
        <v>27.25</v>
      </c>
      <c r="G955" s="1">
        <v>28</v>
      </c>
      <c r="H955" s="1">
        <f t="shared" si="30"/>
        <v>42.25</v>
      </c>
      <c r="I955" s="1">
        <v>45</v>
      </c>
      <c r="J955" s="1">
        <f t="shared" si="31"/>
        <v>45.25</v>
      </c>
      <c r="M955" s="1">
        <v>10</v>
      </c>
      <c r="P955" s="2" t="s">
        <v>551</v>
      </c>
      <c r="Q955" s="2" t="s">
        <v>551</v>
      </c>
      <c r="R955" s="2" t="s">
        <v>551</v>
      </c>
      <c r="S955" s="1">
        <v>13</v>
      </c>
    </row>
    <row r="956" spans="1:19" x14ac:dyDescent="0.25">
      <c r="A956" s="12">
        <v>41368</v>
      </c>
      <c r="B956" s="14" t="s">
        <v>971</v>
      </c>
      <c r="C956" s="14"/>
      <c r="D956" s="14"/>
      <c r="E956" s="1">
        <v>21</v>
      </c>
      <c r="F956" s="1">
        <f t="shared" si="29"/>
        <v>28.25</v>
      </c>
      <c r="G956" s="1">
        <v>25</v>
      </c>
      <c r="H956" s="1">
        <f t="shared" si="30"/>
        <v>36</v>
      </c>
      <c r="I956" s="1">
        <v>35</v>
      </c>
      <c r="J956" s="1">
        <f t="shared" si="31"/>
        <v>46</v>
      </c>
      <c r="M956" s="1">
        <v>7</v>
      </c>
      <c r="P956" s="2" t="s">
        <v>551</v>
      </c>
      <c r="Q956" s="2" t="s">
        <v>551</v>
      </c>
      <c r="R956" s="2" t="s">
        <v>551</v>
      </c>
      <c r="S956" s="1">
        <v>14</v>
      </c>
    </row>
    <row r="957" spans="1:19" x14ac:dyDescent="0.25">
      <c r="A957" s="12">
        <v>41375</v>
      </c>
      <c r="B957" s="14" t="s">
        <v>972</v>
      </c>
      <c r="C957" s="14"/>
      <c r="D957" s="14"/>
      <c r="E957" s="1">
        <v>19</v>
      </c>
      <c r="F957" s="1">
        <f t="shared" si="29"/>
        <v>27.5</v>
      </c>
      <c r="G957" s="1">
        <v>28</v>
      </c>
      <c r="H957" s="1">
        <f t="shared" si="30"/>
        <v>34.75</v>
      </c>
      <c r="I957" s="1">
        <v>35</v>
      </c>
      <c r="J957" s="1">
        <f t="shared" si="31"/>
        <v>36</v>
      </c>
      <c r="M957" s="1">
        <v>10</v>
      </c>
      <c r="P957" s="2" t="s">
        <v>551</v>
      </c>
      <c r="Q957" s="2" t="s">
        <v>551</v>
      </c>
      <c r="R957" s="2" t="s">
        <v>551</v>
      </c>
      <c r="S957" s="1">
        <v>15</v>
      </c>
    </row>
    <row r="958" spans="1:19" x14ac:dyDescent="0.25">
      <c r="A958" s="12">
        <v>41382</v>
      </c>
      <c r="B958" s="14" t="s">
        <v>973</v>
      </c>
      <c r="C958" s="14"/>
      <c r="D958" s="14"/>
      <c r="E958" s="1">
        <v>19</v>
      </c>
      <c r="F958" s="1">
        <f t="shared" si="29"/>
        <v>23.5</v>
      </c>
      <c r="G958" s="1">
        <v>29</v>
      </c>
      <c r="H958" s="1">
        <f t="shared" si="30"/>
        <v>30.75</v>
      </c>
      <c r="I958" s="1">
        <v>31</v>
      </c>
      <c r="J958" s="1">
        <f t="shared" si="31"/>
        <v>39.25</v>
      </c>
      <c r="M958" s="1">
        <v>6</v>
      </c>
      <c r="P958" s="2" t="s">
        <v>551</v>
      </c>
      <c r="Q958" s="2" t="s">
        <v>551</v>
      </c>
      <c r="R958" s="2" t="s">
        <v>551</v>
      </c>
      <c r="S958" s="1">
        <v>16</v>
      </c>
    </row>
    <row r="959" spans="1:19" x14ac:dyDescent="0.25">
      <c r="A959" s="12">
        <v>41389</v>
      </c>
      <c r="B959" s="14" t="s">
        <v>974</v>
      </c>
      <c r="C959" s="14"/>
      <c r="D959" s="14"/>
      <c r="E959" s="1">
        <v>16</v>
      </c>
      <c r="F959" s="1">
        <f t="shared" si="29"/>
        <v>22.25</v>
      </c>
      <c r="G959" s="1">
        <v>25</v>
      </c>
      <c r="H959" s="1">
        <f t="shared" si="30"/>
        <v>29.25</v>
      </c>
      <c r="I959" s="1">
        <v>31</v>
      </c>
      <c r="J959" s="1">
        <f t="shared" si="31"/>
        <v>43.75</v>
      </c>
      <c r="M959" s="1">
        <v>6</v>
      </c>
      <c r="P959" s="2" t="s">
        <v>551</v>
      </c>
      <c r="Q959" s="2" t="s">
        <v>551</v>
      </c>
      <c r="R959" s="2" t="s">
        <v>551</v>
      </c>
      <c r="S959" s="1">
        <v>17</v>
      </c>
    </row>
    <row r="960" spans="1:19" x14ac:dyDescent="0.25">
      <c r="A960" s="12">
        <v>41396</v>
      </c>
      <c r="B960" s="14" t="s">
        <v>975</v>
      </c>
      <c r="C960" s="14"/>
      <c r="D960" s="14"/>
      <c r="E960" s="1">
        <v>27</v>
      </c>
      <c r="F960" s="1">
        <f t="shared" si="29"/>
        <v>26.75</v>
      </c>
      <c r="G960" s="1">
        <v>23</v>
      </c>
      <c r="H960" s="1">
        <f t="shared" si="30"/>
        <v>29.5</v>
      </c>
      <c r="I960" s="1">
        <v>36</v>
      </c>
      <c r="J960" s="1">
        <f t="shared" si="31"/>
        <v>44.75</v>
      </c>
      <c r="M960" s="1">
        <v>6</v>
      </c>
      <c r="P960" s="2" t="s">
        <v>551</v>
      </c>
      <c r="Q960" s="2" t="s">
        <v>551</v>
      </c>
      <c r="R960" s="2" t="s">
        <v>551</v>
      </c>
      <c r="S960" s="1">
        <v>18</v>
      </c>
    </row>
    <row r="961" spans="1:19" x14ac:dyDescent="0.25">
      <c r="A961" s="12">
        <v>41403</v>
      </c>
      <c r="B961" s="14" t="s">
        <v>976</v>
      </c>
      <c r="C961" s="14"/>
      <c r="D961" s="14"/>
      <c r="E961" s="1">
        <v>25</v>
      </c>
      <c r="F961" s="1">
        <f t="shared" si="29"/>
        <v>24</v>
      </c>
      <c r="G961" s="1">
        <v>23</v>
      </c>
      <c r="H961" s="1">
        <f t="shared" si="30"/>
        <v>35.5</v>
      </c>
      <c r="I961" s="1">
        <v>33</v>
      </c>
      <c r="J961" s="1">
        <f t="shared" si="31"/>
        <v>45.25</v>
      </c>
      <c r="M961" s="1">
        <v>2</v>
      </c>
      <c r="P961" s="2" t="s">
        <v>551</v>
      </c>
      <c r="Q961" s="2" t="s">
        <v>551</v>
      </c>
      <c r="R961" s="2" t="s">
        <v>551</v>
      </c>
      <c r="S961" s="1">
        <v>19</v>
      </c>
    </row>
    <row r="962" spans="1:19" x14ac:dyDescent="0.25">
      <c r="A962" s="12">
        <v>41410</v>
      </c>
      <c r="B962" s="14" t="s">
        <v>977</v>
      </c>
      <c r="C962" s="14"/>
      <c r="D962" s="14"/>
      <c r="E962" s="1">
        <v>30</v>
      </c>
      <c r="F962" s="1">
        <f t="shared" si="29"/>
        <v>26</v>
      </c>
      <c r="G962" s="1">
        <v>20</v>
      </c>
      <c r="H962" s="1">
        <f t="shared" si="30"/>
        <v>33</v>
      </c>
      <c r="I962" s="1">
        <v>39</v>
      </c>
      <c r="J962" s="1">
        <f t="shared" si="31"/>
        <v>42.5</v>
      </c>
      <c r="M962" s="1">
        <v>3</v>
      </c>
      <c r="P962" s="2" t="s">
        <v>551</v>
      </c>
      <c r="Q962" s="2" t="s">
        <v>551</v>
      </c>
      <c r="R962" s="2" t="s">
        <v>551</v>
      </c>
      <c r="S962" s="1">
        <v>20</v>
      </c>
    </row>
    <row r="963" spans="1:19" x14ac:dyDescent="0.25">
      <c r="A963" s="12">
        <v>41417</v>
      </c>
      <c r="B963" s="14" t="s">
        <v>978</v>
      </c>
      <c r="C963" s="14"/>
      <c r="D963" s="14"/>
      <c r="E963" s="1">
        <v>29</v>
      </c>
      <c r="F963" s="1">
        <f t="shared" si="29"/>
        <v>26.5</v>
      </c>
      <c r="G963" s="1">
        <v>24</v>
      </c>
      <c r="H963" s="1">
        <f t="shared" si="30"/>
        <v>32.5</v>
      </c>
      <c r="I963" s="1">
        <v>34</v>
      </c>
      <c r="J963" s="1">
        <f t="shared" si="31"/>
        <v>42</v>
      </c>
      <c r="M963" s="1">
        <v>0</v>
      </c>
      <c r="P963" s="2" t="s">
        <v>551</v>
      </c>
      <c r="Q963" s="2" t="s">
        <v>551</v>
      </c>
      <c r="R963" s="2" t="s">
        <v>551</v>
      </c>
      <c r="S963" s="1">
        <v>21</v>
      </c>
    </row>
    <row r="964" spans="1:19" x14ac:dyDescent="0.25">
      <c r="A964" s="12">
        <v>41424</v>
      </c>
      <c r="B964" s="14" t="s">
        <v>979</v>
      </c>
      <c r="C964" s="14"/>
      <c r="D964" s="14"/>
      <c r="E964" s="1">
        <v>28</v>
      </c>
      <c r="F964" s="1">
        <f t="shared" si="29"/>
        <v>20.5</v>
      </c>
      <c r="G964" s="1">
        <v>24</v>
      </c>
      <c r="H964" s="1">
        <f t="shared" si="30"/>
        <v>32.25</v>
      </c>
      <c r="I964" s="1">
        <v>38</v>
      </c>
      <c r="J964" s="1">
        <f t="shared" si="31"/>
        <v>41</v>
      </c>
      <c r="M964" s="1">
        <v>5</v>
      </c>
      <c r="P964" s="2" t="s">
        <v>551</v>
      </c>
      <c r="Q964" s="2" t="s">
        <v>551</v>
      </c>
      <c r="R964" s="2" t="s">
        <v>551</v>
      </c>
      <c r="S964" s="1">
        <v>22</v>
      </c>
    </row>
    <row r="965" spans="1:19" x14ac:dyDescent="0.25">
      <c r="A965" s="12">
        <v>41431</v>
      </c>
      <c r="B965" s="14" t="s">
        <v>980</v>
      </c>
      <c r="C965" s="14"/>
      <c r="D965" s="14"/>
      <c r="E965" s="1">
        <v>18</v>
      </c>
      <c r="F965" s="1">
        <f t="shared" si="29"/>
        <v>20.75</v>
      </c>
      <c r="G965" s="1">
        <v>24</v>
      </c>
      <c r="H965" s="1">
        <f t="shared" si="30"/>
        <v>31.25</v>
      </c>
      <c r="I965" s="1">
        <v>36</v>
      </c>
      <c r="J965" s="1">
        <f t="shared" si="31"/>
        <v>39.25</v>
      </c>
      <c r="M965" s="1">
        <v>6</v>
      </c>
      <c r="P965" s="2" t="s">
        <v>551</v>
      </c>
      <c r="Q965" s="2" t="s">
        <v>551</v>
      </c>
      <c r="R965" s="2" t="s">
        <v>551</v>
      </c>
      <c r="S965" s="1">
        <v>23</v>
      </c>
    </row>
    <row r="966" spans="1:19" x14ac:dyDescent="0.25">
      <c r="A966" s="12">
        <v>41438</v>
      </c>
      <c r="B966" s="14" t="s">
        <v>981</v>
      </c>
      <c r="C966" s="14"/>
      <c r="D966" s="14"/>
      <c r="E966" s="1">
        <v>26</v>
      </c>
      <c r="F966" s="1">
        <f t="shared" si="29"/>
        <v>20.25</v>
      </c>
      <c r="G966" s="1">
        <v>24</v>
      </c>
      <c r="H966" s="1">
        <f t="shared" si="30"/>
        <v>32</v>
      </c>
      <c r="I966" s="1">
        <v>33</v>
      </c>
      <c r="J966" s="1">
        <f t="shared" si="31"/>
        <v>42.75</v>
      </c>
      <c r="M966" s="1">
        <v>5</v>
      </c>
      <c r="P966" s="2" t="s">
        <v>551</v>
      </c>
      <c r="Q966" s="2" t="s">
        <v>551</v>
      </c>
      <c r="R966" s="2" t="s">
        <v>551</v>
      </c>
      <c r="S966" s="1">
        <v>24</v>
      </c>
    </row>
    <row r="967" spans="1:19" x14ac:dyDescent="0.25">
      <c r="A967" s="12">
        <v>41445</v>
      </c>
      <c r="B967" s="14" t="s">
        <v>982</v>
      </c>
      <c r="C967" s="14"/>
      <c r="D967" s="14"/>
      <c r="E967" s="1">
        <v>19</v>
      </c>
      <c r="F967" s="1">
        <f t="shared" si="29"/>
        <v>19.75</v>
      </c>
      <c r="G967" s="1">
        <v>27</v>
      </c>
      <c r="H967" s="1">
        <f t="shared" si="30"/>
        <v>31.75</v>
      </c>
      <c r="I967" s="1">
        <v>45</v>
      </c>
      <c r="J967" s="1">
        <f t="shared" si="31"/>
        <v>52.5</v>
      </c>
      <c r="M967" s="1">
        <v>8</v>
      </c>
      <c r="P967" s="2" t="s">
        <v>551</v>
      </c>
      <c r="Q967" s="2" t="s">
        <v>551</v>
      </c>
      <c r="R967" s="2" t="s">
        <v>551</v>
      </c>
      <c r="S967" s="1">
        <v>25</v>
      </c>
    </row>
    <row r="968" spans="1:19" x14ac:dyDescent="0.25">
      <c r="A968" s="12">
        <v>41452</v>
      </c>
      <c r="B968" s="14" t="s">
        <v>983</v>
      </c>
      <c r="C968" s="14"/>
      <c r="D968" s="14"/>
      <c r="E968" s="1">
        <v>16</v>
      </c>
      <c r="F968" s="1">
        <f t="shared" si="29"/>
        <v>23.75</v>
      </c>
      <c r="G968" s="1">
        <v>26</v>
      </c>
      <c r="H968" s="1">
        <f t="shared" si="30"/>
        <v>33.25</v>
      </c>
      <c r="I968" s="1">
        <v>42</v>
      </c>
      <c r="J968" s="1">
        <f t="shared" si="31"/>
        <v>47.75</v>
      </c>
      <c r="M968" s="1">
        <v>8</v>
      </c>
      <c r="P968" s="2" t="s">
        <v>551</v>
      </c>
      <c r="Q968" s="2" t="s">
        <v>551</v>
      </c>
      <c r="R968" s="2" t="s">
        <v>551</v>
      </c>
      <c r="S968" s="1">
        <v>26</v>
      </c>
    </row>
    <row r="969" spans="1:19" x14ac:dyDescent="0.25">
      <c r="A969" s="12">
        <v>41459</v>
      </c>
      <c r="B969" s="14" t="s">
        <v>984</v>
      </c>
      <c r="C969" s="14"/>
      <c r="D969" s="14"/>
      <c r="E969" s="1">
        <v>17</v>
      </c>
      <c r="F969" s="1">
        <f t="shared" si="29"/>
        <v>25.25</v>
      </c>
      <c r="G969" s="1">
        <v>28</v>
      </c>
      <c r="H969" s="1">
        <f t="shared" si="30"/>
        <v>36</v>
      </c>
      <c r="I969" s="1">
        <v>54</v>
      </c>
      <c r="J969" s="1">
        <f t="shared" si="31"/>
        <v>45</v>
      </c>
      <c r="M969" s="1">
        <v>7</v>
      </c>
      <c r="P969" s="2" t="s">
        <v>551</v>
      </c>
      <c r="Q969" s="2" t="s">
        <v>551</v>
      </c>
      <c r="R969" s="2" t="s">
        <v>551</v>
      </c>
      <c r="S969" s="1">
        <v>27</v>
      </c>
    </row>
    <row r="970" spans="1:19" x14ac:dyDescent="0.25">
      <c r="A970" s="12">
        <v>41466</v>
      </c>
      <c r="B970" s="14" t="s">
        <v>985</v>
      </c>
      <c r="C970" s="14"/>
      <c r="D970" s="14"/>
      <c r="E970" s="1">
        <v>26</v>
      </c>
      <c r="F970" s="1">
        <f t="shared" si="29"/>
        <v>23.75</v>
      </c>
      <c r="G970" s="1">
        <v>25</v>
      </c>
      <c r="H970" s="1">
        <f t="shared" si="30"/>
        <v>33</v>
      </c>
      <c r="I970" s="1">
        <v>49</v>
      </c>
      <c r="J970" s="1">
        <f t="shared" si="31"/>
        <v>45</v>
      </c>
      <c r="M970" s="1">
        <v>7</v>
      </c>
      <c r="P970" s="2" t="s">
        <v>551</v>
      </c>
      <c r="Q970" s="2" t="s">
        <v>551</v>
      </c>
      <c r="R970" s="2" t="s">
        <v>551</v>
      </c>
      <c r="S970" s="1">
        <v>28</v>
      </c>
    </row>
    <row r="971" spans="1:19" x14ac:dyDescent="0.25">
      <c r="A971" s="12">
        <v>41473</v>
      </c>
      <c r="B971" s="14" t="s">
        <v>986</v>
      </c>
      <c r="C971" s="14"/>
      <c r="D971" s="14"/>
      <c r="E971" s="1">
        <v>24</v>
      </c>
      <c r="F971" s="1">
        <f t="shared" si="29"/>
        <v>26</v>
      </c>
      <c r="G971" s="1">
        <v>27</v>
      </c>
      <c r="H971" s="1">
        <f t="shared" si="30"/>
        <v>34.75</v>
      </c>
      <c r="I971" s="1">
        <v>40</v>
      </c>
      <c r="J971" s="1">
        <f t="shared" si="31"/>
        <v>44.5</v>
      </c>
      <c r="M971" s="1">
        <v>6</v>
      </c>
      <c r="P971" s="2" t="s">
        <v>551</v>
      </c>
      <c r="Q971" s="2" t="s">
        <v>551</v>
      </c>
      <c r="R971" s="2" t="s">
        <v>551</v>
      </c>
      <c r="S971" s="1">
        <v>29</v>
      </c>
    </row>
    <row r="972" spans="1:19" x14ac:dyDescent="0.25">
      <c r="A972" s="12">
        <v>41480</v>
      </c>
      <c r="B972" s="14" t="s">
        <v>987</v>
      </c>
      <c r="C972" s="14"/>
      <c r="D972" s="14"/>
      <c r="E972" s="1">
        <v>29</v>
      </c>
      <c r="F972" s="1">
        <f t="shared" si="29"/>
        <v>24.75</v>
      </c>
      <c r="G972" s="1">
        <v>20</v>
      </c>
      <c r="H972" s="1">
        <f t="shared" si="30"/>
        <v>36.25</v>
      </c>
      <c r="I972" s="1">
        <v>46</v>
      </c>
      <c r="J972" s="1">
        <f t="shared" si="31"/>
        <v>50.75</v>
      </c>
      <c r="M972" s="1">
        <v>5</v>
      </c>
      <c r="P972" s="2" t="s">
        <v>551</v>
      </c>
      <c r="Q972" s="2" t="s">
        <v>551</v>
      </c>
      <c r="R972" s="2" t="s">
        <v>551</v>
      </c>
      <c r="S972" s="1">
        <v>30</v>
      </c>
    </row>
    <row r="973" spans="1:19" x14ac:dyDescent="0.25">
      <c r="A973" s="12">
        <v>41487</v>
      </c>
      <c r="B973" s="14" t="s">
        <v>988</v>
      </c>
      <c r="C973" s="14"/>
      <c r="D973" s="14"/>
      <c r="E973" s="1">
        <v>22</v>
      </c>
      <c r="F973" s="1">
        <f t="shared" si="29"/>
        <v>26.75</v>
      </c>
      <c r="G973" s="1">
        <v>30</v>
      </c>
      <c r="H973" s="1">
        <f t="shared" si="30"/>
        <v>34.5</v>
      </c>
      <c r="I973" s="1">
        <v>50</v>
      </c>
      <c r="J973" s="1">
        <f t="shared" si="31"/>
        <v>48</v>
      </c>
      <c r="M973" s="1">
        <v>3</v>
      </c>
      <c r="P973" s="2" t="s">
        <v>551</v>
      </c>
      <c r="Q973" s="2" t="s">
        <v>551</v>
      </c>
      <c r="R973" s="2" t="s">
        <v>551</v>
      </c>
      <c r="S973" s="1">
        <v>31</v>
      </c>
    </row>
    <row r="974" spans="1:19" x14ac:dyDescent="0.25">
      <c r="A974" s="12">
        <v>41494</v>
      </c>
      <c r="B974" s="14" t="s">
        <v>989</v>
      </c>
      <c r="C974" s="14"/>
      <c r="D974" s="14"/>
      <c r="E974" s="1">
        <v>33</v>
      </c>
      <c r="F974" s="1">
        <f t="shared" si="29"/>
        <v>28.25</v>
      </c>
      <c r="G974" s="1">
        <v>28</v>
      </c>
      <c r="H974" s="1">
        <f t="shared" si="30"/>
        <v>34.25</v>
      </c>
      <c r="I974" s="1">
        <v>39</v>
      </c>
      <c r="J974" s="1">
        <f t="shared" si="31"/>
        <v>48.25</v>
      </c>
      <c r="M974" s="1">
        <v>9</v>
      </c>
      <c r="P974" s="2" t="s">
        <v>551</v>
      </c>
      <c r="Q974" s="2" t="s">
        <v>551</v>
      </c>
      <c r="R974" s="2" t="s">
        <v>551</v>
      </c>
      <c r="S974" s="1">
        <v>32</v>
      </c>
    </row>
    <row r="975" spans="1:19" x14ac:dyDescent="0.25">
      <c r="A975" s="12">
        <v>41501</v>
      </c>
      <c r="B975" s="14" t="s">
        <v>990</v>
      </c>
      <c r="C975" s="14"/>
      <c r="D975" s="14"/>
      <c r="E975" s="1">
        <v>28</v>
      </c>
      <c r="F975" s="1">
        <f t="shared" si="29"/>
        <v>32</v>
      </c>
      <c r="G975" s="1">
        <v>28</v>
      </c>
      <c r="H975" s="1">
        <f t="shared" si="30"/>
        <v>35.75</v>
      </c>
      <c r="I975" s="1">
        <v>35</v>
      </c>
      <c r="J975" s="1">
        <f t="shared" si="31"/>
        <v>47.75</v>
      </c>
      <c r="M975" s="1">
        <v>11</v>
      </c>
      <c r="P975" s="2" t="s">
        <v>551</v>
      </c>
      <c r="Q975" s="2" t="s">
        <v>551</v>
      </c>
      <c r="R975" s="2" t="s">
        <v>551</v>
      </c>
      <c r="S975" s="1">
        <v>33</v>
      </c>
    </row>
    <row r="976" spans="1:19" x14ac:dyDescent="0.25">
      <c r="A976" s="12">
        <v>41508</v>
      </c>
      <c r="B976" s="14" t="s">
        <v>991</v>
      </c>
      <c r="C976" s="14"/>
      <c r="D976" s="14"/>
      <c r="E976" s="1">
        <v>32</v>
      </c>
      <c r="F976" s="1">
        <f t="shared" si="29"/>
        <v>28.5</v>
      </c>
      <c r="G976" s="1">
        <v>25</v>
      </c>
      <c r="H976" s="1">
        <f t="shared" si="30"/>
        <v>37.75</v>
      </c>
      <c r="I976" s="1">
        <v>42</v>
      </c>
      <c r="J976" s="1">
        <f t="shared" si="31"/>
        <v>48.5</v>
      </c>
      <c r="M976" s="1">
        <v>17</v>
      </c>
      <c r="P976" s="2" t="s">
        <v>551</v>
      </c>
      <c r="Q976" s="2" t="s">
        <v>551</v>
      </c>
      <c r="R976" s="2" t="s">
        <v>551</v>
      </c>
      <c r="S976" s="1">
        <v>34</v>
      </c>
    </row>
    <row r="977" spans="1:19" x14ac:dyDescent="0.25">
      <c r="A977" s="12">
        <v>41515</v>
      </c>
      <c r="B977" s="14" t="s">
        <v>992</v>
      </c>
      <c r="C977" s="14"/>
      <c r="D977" s="14"/>
      <c r="E977" s="1">
        <v>30</v>
      </c>
      <c r="F977" s="1">
        <f t="shared" si="29"/>
        <v>28.75</v>
      </c>
      <c r="G977" s="1">
        <v>26</v>
      </c>
      <c r="H977" s="1">
        <f t="shared" si="30"/>
        <v>34.75</v>
      </c>
      <c r="I977" s="1">
        <v>51</v>
      </c>
      <c r="J977" s="1">
        <f t="shared" si="31"/>
        <v>49.25</v>
      </c>
      <c r="M977" s="1">
        <v>15</v>
      </c>
      <c r="P977" s="2" t="s">
        <v>551</v>
      </c>
      <c r="Q977" s="2" t="s">
        <v>551</v>
      </c>
      <c r="R977" s="2" t="s">
        <v>551</v>
      </c>
      <c r="S977" s="1">
        <v>35</v>
      </c>
    </row>
    <row r="978" spans="1:19" x14ac:dyDescent="0.25">
      <c r="A978" s="12">
        <v>41522</v>
      </c>
      <c r="B978" s="14" t="s">
        <v>993</v>
      </c>
      <c r="C978" s="14"/>
      <c r="D978" s="14"/>
      <c r="E978" s="1">
        <v>34</v>
      </c>
      <c r="F978" s="1">
        <f t="shared" si="29"/>
        <v>28</v>
      </c>
      <c r="G978" s="1">
        <v>31</v>
      </c>
      <c r="H978" s="1">
        <f t="shared" si="30"/>
        <v>30</v>
      </c>
      <c r="I978" s="1">
        <v>57</v>
      </c>
      <c r="J978" s="1">
        <f t="shared" si="31"/>
        <v>56</v>
      </c>
      <c r="M978" s="1">
        <v>14</v>
      </c>
      <c r="P978" s="2" t="s">
        <v>551</v>
      </c>
      <c r="Q978" s="2" t="s">
        <v>551</v>
      </c>
      <c r="R978" s="2" t="s">
        <v>551</v>
      </c>
      <c r="S978" s="1">
        <v>36</v>
      </c>
    </row>
    <row r="979" spans="1:19" x14ac:dyDescent="0.25">
      <c r="A979" s="12">
        <v>41529</v>
      </c>
      <c r="B979" s="14" t="s">
        <v>994</v>
      </c>
      <c r="C979" s="14"/>
      <c r="D979" s="14"/>
      <c r="E979" s="1">
        <v>27</v>
      </c>
      <c r="F979" s="1">
        <f t="shared" ref="F979:F1042" si="32">AVERAGE(E927,E875,E823,E771)</f>
        <v>33</v>
      </c>
      <c r="G979" s="1">
        <v>38</v>
      </c>
      <c r="H979" s="1">
        <f t="shared" ref="H979:H1042" si="33">AVERAGE(G927,G875,G823,G771)</f>
        <v>36.75</v>
      </c>
      <c r="I979" s="1">
        <v>65</v>
      </c>
      <c r="J979" s="1">
        <f t="shared" ref="J979:J1042" si="34">AVERAGE(I927,I875,I823,I771)</f>
        <v>51.75</v>
      </c>
      <c r="M979" s="1">
        <v>14</v>
      </c>
      <c r="P979" s="2" t="s">
        <v>551</v>
      </c>
      <c r="Q979" s="2" t="s">
        <v>551</v>
      </c>
      <c r="R979" s="2" t="s">
        <v>551</v>
      </c>
      <c r="S979" s="1">
        <v>37</v>
      </c>
    </row>
    <row r="980" spans="1:19" x14ac:dyDescent="0.25">
      <c r="A980" s="12">
        <v>41536</v>
      </c>
      <c r="B980" s="14" t="s">
        <v>995</v>
      </c>
      <c r="C980" s="14"/>
      <c r="D980" s="14"/>
      <c r="E980" s="1">
        <v>22</v>
      </c>
      <c r="F980" s="1">
        <f t="shared" si="32"/>
        <v>35.25</v>
      </c>
      <c r="G980" s="1">
        <v>43</v>
      </c>
      <c r="H980" s="1">
        <f t="shared" si="33"/>
        <v>39</v>
      </c>
      <c r="I980" s="1">
        <v>65</v>
      </c>
      <c r="J980" s="1">
        <f t="shared" si="34"/>
        <v>56.25</v>
      </c>
      <c r="M980" s="1">
        <v>17</v>
      </c>
      <c r="P980" s="2" t="s">
        <v>551</v>
      </c>
      <c r="Q980" s="2" t="s">
        <v>551</v>
      </c>
      <c r="R980" s="2" t="s">
        <v>551</v>
      </c>
      <c r="S980" s="1">
        <v>38</v>
      </c>
    </row>
    <row r="981" spans="1:19" x14ac:dyDescent="0.25">
      <c r="A981" s="12">
        <v>41543</v>
      </c>
      <c r="B981" s="14" t="s">
        <v>996</v>
      </c>
      <c r="C981" s="14"/>
      <c r="D981" s="14"/>
      <c r="E981" s="1">
        <v>39</v>
      </c>
      <c r="F981" s="1">
        <f t="shared" si="32"/>
        <v>39.5</v>
      </c>
      <c r="G981" s="1">
        <v>39</v>
      </c>
      <c r="H981" s="1">
        <f t="shared" si="33"/>
        <v>38.25</v>
      </c>
      <c r="I981" s="1">
        <v>58</v>
      </c>
      <c r="J981" s="1">
        <f t="shared" si="34"/>
        <v>59.75</v>
      </c>
      <c r="M981" s="1">
        <v>14</v>
      </c>
      <c r="P981" s="2" t="s">
        <v>551</v>
      </c>
      <c r="Q981" s="2" t="s">
        <v>551</v>
      </c>
      <c r="R981" s="2" t="s">
        <v>551</v>
      </c>
      <c r="S981" s="1">
        <v>39</v>
      </c>
    </row>
    <row r="982" spans="1:19" x14ac:dyDescent="0.25">
      <c r="A982" s="12">
        <v>41550</v>
      </c>
      <c r="B982" s="14" t="s">
        <v>997</v>
      </c>
      <c r="C982" s="14"/>
      <c r="D982" s="14"/>
      <c r="E982" s="1">
        <v>49</v>
      </c>
      <c r="F982" s="1">
        <f t="shared" si="32"/>
        <v>38.5</v>
      </c>
      <c r="G982" s="1">
        <v>38</v>
      </c>
      <c r="H982" s="1">
        <f t="shared" si="33"/>
        <v>37.5</v>
      </c>
      <c r="I982" s="1">
        <v>64</v>
      </c>
      <c r="J982" s="1">
        <f t="shared" si="34"/>
        <v>60.5</v>
      </c>
      <c r="M982" s="1">
        <v>15</v>
      </c>
      <c r="P982" s="2" t="s">
        <v>551</v>
      </c>
      <c r="Q982" s="2" t="s">
        <v>551</v>
      </c>
      <c r="R982" s="2" t="s">
        <v>551</v>
      </c>
      <c r="S982" s="1">
        <v>40</v>
      </c>
    </row>
    <row r="983" spans="1:19" x14ac:dyDescent="0.25">
      <c r="A983" s="12">
        <v>41557</v>
      </c>
      <c r="B983" s="14" t="s">
        <v>998</v>
      </c>
      <c r="C983" s="14"/>
      <c r="D983" s="14"/>
      <c r="E983" s="1">
        <v>45</v>
      </c>
      <c r="F983" s="1">
        <f t="shared" si="32"/>
        <v>44.5</v>
      </c>
      <c r="G983" s="1">
        <v>47</v>
      </c>
      <c r="H983" s="1">
        <f t="shared" si="33"/>
        <v>38</v>
      </c>
      <c r="I983" s="1">
        <v>81</v>
      </c>
      <c r="J983" s="1">
        <f t="shared" si="34"/>
        <v>60</v>
      </c>
      <c r="M983" s="1">
        <v>18</v>
      </c>
      <c r="P983" s="2" t="s">
        <v>551</v>
      </c>
      <c r="Q983" s="2" t="s">
        <v>551</v>
      </c>
      <c r="R983" s="2" t="s">
        <v>551</v>
      </c>
      <c r="S983" s="1">
        <v>41</v>
      </c>
    </row>
    <row r="984" spans="1:19" x14ac:dyDescent="0.25">
      <c r="A984" s="12">
        <v>41564</v>
      </c>
      <c r="B984" s="14" t="s">
        <v>999</v>
      </c>
      <c r="C984" s="14"/>
      <c r="D984" s="14"/>
      <c r="E984" s="1">
        <v>55</v>
      </c>
      <c r="F984" s="1">
        <f t="shared" si="32"/>
        <v>43.75</v>
      </c>
      <c r="G984" s="1">
        <v>49</v>
      </c>
      <c r="H984" s="1">
        <f t="shared" si="33"/>
        <v>45.5</v>
      </c>
      <c r="I984" s="1">
        <v>73</v>
      </c>
      <c r="J984" s="1">
        <f t="shared" si="34"/>
        <v>62</v>
      </c>
      <c r="M984" s="1">
        <v>20</v>
      </c>
      <c r="P984" s="2" t="s">
        <v>551</v>
      </c>
      <c r="Q984" s="2" t="s">
        <v>551</v>
      </c>
      <c r="R984" s="2" t="s">
        <v>551</v>
      </c>
      <c r="S984" s="1">
        <v>42</v>
      </c>
    </row>
    <row r="985" spans="1:19" x14ac:dyDescent="0.25">
      <c r="A985" s="12">
        <v>41571</v>
      </c>
      <c r="B985" s="14" t="s">
        <v>1000</v>
      </c>
      <c r="C985" s="14"/>
      <c r="D985" s="14"/>
      <c r="E985" s="1">
        <v>56</v>
      </c>
      <c r="F985" s="1">
        <f t="shared" si="32"/>
        <v>46</v>
      </c>
      <c r="G985" s="1">
        <v>44</v>
      </c>
      <c r="H985" s="1">
        <f t="shared" si="33"/>
        <v>44.25</v>
      </c>
      <c r="I985" s="1">
        <v>63</v>
      </c>
      <c r="J985" s="1">
        <f t="shared" si="34"/>
        <v>65</v>
      </c>
      <c r="M985" s="1">
        <v>20</v>
      </c>
      <c r="P985" s="2" t="s">
        <v>551</v>
      </c>
      <c r="Q985" s="2" t="s">
        <v>551</v>
      </c>
      <c r="R985" s="2" t="s">
        <v>551</v>
      </c>
      <c r="S985" s="1">
        <v>43</v>
      </c>
    </row>
    <row r="986" spans="1:19" x14ac:dyDescent="0.25">
      <c r="A986" s="12">
        <v>41578</v>
      </c>
      <c r="B986" s="14" t="s">
        <v>1001</v>
      </c>
      <c r="C986" s="14"/>
      <c r="D986" s="14"/>
      <c r="E986" s="1">
        <v>40</v>
      </c>
      <c r="F986" s="1">
        <f t="shared" si="32"/>
        <v>46.75</v>
      </c>
      <c r="G986" s="1">
        <v>44</v>
      </c>
      <c r="H986" s="1">
        <f t="shared" si="33"/>
        <v>41.75</v>
      </c>
      <c r="I986" s="1">
        <v>79</v>
      </c>
      <c r="J986" s="1">
        <f t="shared" si="34"/>
        <v>64.5</v>
      </c>
      <c r="M986" s="1">
        <v>15</v>
      </c>
      <c r="P986" s="2" t="s">
        <v>551</v>
      </c>
      <c r="Q986" s="2" t="s">
        <v>551</v>
      </c>
      <c r="R986" s="2" t="s">
        <v>551</v>
      </c>
      <c r="S986" s="1">
        <v>44</v>
      </c>
    </row>
    <row r="987" spans="1:19" x14ac:dyDescent="0.25">
      <c r="A987" s="12">
        <v>41585</v>
      </c>
      <c r="B987" s="14" t="s">
        <v>1002</v>
      </c>
      <c r="C987" s="14"/>
      <c r="D987" s="14"/>
      <c r="E987" s="1">
        <v>46</v>
      </c>
      <c r="F987" s="1">
        <f t="shared" si="32"/>
        <v>43.5</v>
      </c>
      <c r="G987" s="1">
        <v>45</v>
      </c>
      <c r="H987" s="1">
        <f t="shared" si="33"/>
        <v>42.5</v>
      </c>
      <c r="I987" s="1">
        <v>77</v>
      </c>
      <c r="J987" s="1">
        <f t="shared" si="34"/>
        <v>64.25</v>
      </c>
      <c r="M987" s="1">
        <v>20</v>
      </c>
      <c r="P987" s="2" t="s">
        <v>551</v>
      </c>
      <c r="Q987" s="2" t="s">
        <v>551</v>
      </c>
      <c r="R987" s="2" t="s">
        <v>551</v>
      </c>
      <c r="S987" s="1">
        <v>45</v>
      </c>
    </row>
    <row r="988" spans="1:19" x14ac:dyDescent="0.25">
      <c r="A988" s="12">
        <v>41592</v>
      </c>
      <c r="B988" s="14" t="s">
        <v>1003</v>
      </c>
      <c r="C988" s="14"/>
      <c r="D988" s="14"/>
      <c r="E988" s="1">
        <v>44</v>
      </c>
      <c r="F988" s="1">
        <f t="shared" si="32"/>
        <v>45.75</v>
      </c>
      <c r="G988" s="1">
        <v>56</v>
      </c>
      <c r="H988" s="1">
        <f t="shared" si="33"/>
        <v>48.75</v>
      </c>
      <c r="I988" s="1">
        <v>68</v>
      </c>
      <c r="J988" s="1">
        <f t="shared" si="34"/>
        <v>54.5</v>
      </c>
      <c r="M988" s="1">
        <v>20</v>
      </c>
      <c r="P988" s="2" t="s">
        <v>551</v>
      </c>
      <c r="Q988" s="2" t="s">
        <v>551</v>
      </c>
      <c r="R988" s="2" t="s">
        <v>551</v>
      </c>
      <c r="S988" s="1">
        <v>46</v>
      </c>
    </row>
    <row r="989" spans="1:19" x14ac:dyDescent="0.25">
      <c r="A989" s="12">
        <v>41599</v>
      </c>
      <c r="B989" s="14" t="s">
        <v>1004</v>
      </c>
      <c r="C989" s="14"/>
      <c r="D989" s="14"/>
      <c r="E989" s="1">
        <v>57</v>
      </c>
      <c r="F989" s="1">
        <f t="shared" si="32"/>
        <v>40.5</v>
      </c>
      <c r="G989" s="1">
        <v>49</v>
      </c>
      <c r="H989" s="1">
        <f t="shared" si="33"/>
        <v>44.5</v>
      </c>
      <c r="I989" s="1">
        <v>67</v>
      </c>
      <c r="J989" s="1">
        <f t="shared" si="34"/>
        <v>60.25</v>
      </c>
      <c r="M989" s="1">
        <v>19</v>
      </c>
      <c r="P989" s="2" t="s">
        <v>551</v>
      </c>
      <c r="Q989" s="2" t="s">
        <v>551</v>
      </c>
      <c r="R989" s="2" t="s">
        <v>551</v>
      </c>
      <c r="S989" s="1">
        <v>47</v>
      </c>
    </row>
    <row r="990" spans="1:19" x14ac:dyDescent="0.25">
      <c r="A990" s="12">
        <v>41606</v>
      </c>
      <c r="B990" s="14" t="s">
        <v>1005</v>
      </c>
      <c r="C990" s="14"/>
      <c r="D990" s="14"/>
      <c r="E990" s="1">
        <v>47</v>
      </c>
      <c r="F990" s="1">
        <f t="shared" si="32"/>
        <v>37.25</v>
      </c>
      <c r="G990" s="1">
        <v>43</v>
      </c>
      <c r="H990" s="1">
        <f t="shared" si="33"/>
        <v>43</v>
      </c>
      <c r="I990" s="1">
        <v>78</v>
      </c>
      <c r="J990" s="1">
        <f t="shared" si="34"/>
        <v>59.5</v>
      </c>
      <c r="M990" s="2" t="s">
        <v>551</v>
      </c>
      <c r="P990" s="2" t="s">
        <v>551</v>
      </c>
      <c r="Q990" s="2" t="s">
        <v>551</v>
      </c>
      <c r="R990" s="2" t="s">
        <v>551</v>
      </c>
      <c r="S990" s="1">
        <v>48</v>
      </c>
    </row>
    <row r="991" spans="1:19" x14ac:dyDescent="0.25">
      <c r="A991" s="12">
        <v>41613</v>
      </c>
      <c r="B991" s="14" t="s">
        <v>1006</v>
      </c>
      <c r="C991" s="14"/>
      <c r="D991" s="14"/>
      <c r="E991" s="1">
        <v>53</v>
      </c>
      <c r="F991" s="1">
        <f t="shared" si="32"/>
        <v>40</v>
      </c>
      <c r="G991" s="1">
        <v>45</v>
      </c>
      <c r="H991" s="1">
        <f t="shared" si="33"/>
        <v>40</v>
      </c>
      <c r="I991" s="1">
        <v>69</v>
      </c>
      <c r="J991" s="1">
        <f t="shared" si="34"/>
        <v>62</v>
      </c>
      <c r="M991" s="2">
        <v>21</v>
      </c>
      <c r="P991" s="2" t="s">
        <v>551</v>
      </c>
      <c r="Q991" s="2" t="s">
        <v>551</v>
      </c>
      <c r="R991" s="2" t="s">
        <v>551</v>
      </c>
      <c r="S991" s="1">
        <v>49</v>
      </c>
    </row>
    <row r="992" spans="1:19" x14ac:dyDescent="0.25">
      <c r="A992" s="12">
        <v>41620</v>
      </c>
      <c r="B992" s="14" t="s">
        <v>1007</v>
      </c>
      <c r="C992" s="14"/>
      <c r="D992" s="14"/>
      <c r="E992" s="1">
        <v>60</v>
      </c>
      <c r="F992" s="1">
        <f t="shared" si="32"/>
        <v>39</v>
      </c>
      <c r="G992" s="1">
        <v>40</v>
      </c>
      <c r="H992" s="1">
        <f t="shared" si="33"/>
        <v>41.75</v>
      </c>
      <c r="I992" s="1">
        <v>69</v>
      </c>
      <c r="J992" s="1">
        <f t="shared" si="34"/>
        <v>51.5</v>
      </c>
      <c r="M992" s="2">
        <v>23</v>
      </c>
      <c r="P992" s="2" t="s">
        <v>551</v>
      </c>
      <c r="Q992" s="2" t="s">
        <v>551</v>
      </c>
      <c r="R992" s="2" t="s">
        <v>551</v>
      </c>
      <c r="S992" s="1">
        <v>50</v>
      </c>
    </row>
    <row r="993" spans="1:19" x14ac:dyDescent="0.25">
      <c r="A993" s="12">
        <v>41627</v>
      </c>
      <c r="B993" s="14" t="s">
        <v>1008</v>
      </c>
      <c r="C993" s="14"/>
      <c r="D993" s="14"/>
      <c r="E993" s="1">
        <v>56</v>
      </c>
      <c r="F993" s="1">
        <f t="shared" si="32"/>
        <v>33.75</v>
      </c>
      <c r="G993" s="1">
        <v>41</v>
      </c>
      <c r="H993" s="1">
        <f t="shared" si="33"/>
        <v>37.25</v>
      </c>
      <c r="I993" s="1">
        <v>69</v>
      </c>
      <c r="J993" s="1">
        <f t="shared" si="34"/>
        <v>48.5</v>
      </c>
      <c r="M993" s="2">
        <v>24</v>
      </c>
      <c r="P993" s="2" t="s">
        <v>551</v>
      </c>
      <c r="Q993" s="2" t="s">
        <v>551</v>
      </c>
      <c r="R993" s="2" t="s">
        <v>551</v>
      </c>
      <c r="S993" s="1">
        <v>51</v>
      </c>
    </row>
    <row r="994" spans="1:19" x14ac:dyDescent="0.25">
      <c r="A994" s="12">
        <v>41634</v>
      </c>
      <c r="B994" s="14" t="s">
        <v>1009</v>
      </c>
      <c r="C994" s="14"/>
      <c r="D994" s="14"/>
      <c r="E994" s="1">
        <v>48</v>
      </c>
      <c r="F994" s="1">
        <f t="shared" si="32"/>
        <v>34.25</v>
      </c>
      <c r="G994" s="1">
        <v>39</v>
      </c>
      <c r="H994" s="1">
        <f t="shared" si="33"/>
        <v>35</v>
      </c>
      <c r="I994" s="1">
        <v>69</v>
      </c>
      <c r="J994" s="1">
        <f t="shared" si="34"/>
        <v>60.25</v>
      </c>
      <c r="M994" s="1">
        <v>22</v>
      </c>
      <c r="P994" s="2" t="s">
        <v>551</v>
      </c>
      <c r="Q994" s="2" t="s">
        <v>551</v>
      </c>
      <c r="R994" s="2" t="s">
        <v>551</v>
      </c>
      <c r="S994" s="1">
        <v>52</v>
      </c>
    </row>
    <row r="995" spans="1:19" x14ac:dyDescent="0.25">
      <c r="A995" s="12">
        <v>41641</v>
      </c>
      <c r="B995" s="14" t="s">
        <v>1010</v>
      </c>
      <c r="C995" s="14"/>
      <c r="D995" s="14"/>
      <c r="E995" s="1">
        <v>64</v>
      </c>
      <c r="F995" s="1">
        <f t="shared" si="32"/>
        <v>35</v>
      </c>
      <c r="G995" s="1">
        <v>42</v>
      </c>
      <c r="H995" s="1">
        <f t="shared" si="33"/>
        <v>37.75</v>
      </c>
      <c r="I995" s="1">
        <v>80</v>
      </c>
      <c r="J995" s="1">
        <f t="shared" si="34"/>
        <v>62.25</v>
      </c>
      <c r="M995" s="1">
        <v>13</v>
      </c>
      <c r="P995" s="2" t="s">
        <v>551</v>
      </c>
      <c r="Q995" s="2" t="s">
        <v>551</v>
      </c>
      <c r="R995" s="2" t="s">
        <v>551</v>
      </c>
      <c r="S995" s="1">
        <v>1</v>
      </c>
    </row>
    <row r="996" spans="1:19" x14ac:dyDescent="0.25">
      <c r="A996" s="12">
        <v>41648</v>
      </c>
      <c r="B996" s="14" t="s">
        <v>1011</v>
      </c>
      <c r="C996" s="14"/>
      <c r="D996" s="14"/>
      <c r="E996" s="1">
        <v>57</v>
      </c>
      <c r="F996" s="1">
        <f t="shared" si="32"/>
        <v>30.25</v>
      </c>
      <c r="G996" s="1">
        <v>45</v>
      </c>
      <c r="H996" s="1">
        <f t="shared" si="33"/>
        <v>40</v>
      </c>
      <c r="I996" s="1">
        <v>80</v>
      </c>
      <c r="J996" s="1">
        <f t="shared" si="34"/>
        <v>68.5</v>
      </c>
      <c r="M996" s="1">
        <v>19</v>
      </c>
      <c r="P996" s="2" t="s">
        <v>551</v>
      </c>
      <c r="Q996" s="2" t="s">
        <v>551</v>
      </c>
      <c r="R996" s="2" t="s">
        <v>551</v>
      </c>
      <c r="S996" s="1">
        <v>2</v>
      </c>
    </row>
    <row r="997" spans="1:19" x14ac:dyDescent="0.25">
      <c r="A997" s="12">
        <v>41655</v>
      </c>
      <c r="B997" s="14" t="s">
        <v>1012</v>
      </c>
      <c r="C997" s="14"/>
      <c r="D997" s="14"/>
      <c r="E997" s="1">
        <v>67</v>
      </c>
      <c r="F997" s="1">
        <f t="shared" si="32"/>
        <v>40.25</v>
      </c>
      <c r="G997" s="1">
        <v>50</v>
      </c>
      <c r="H997" s="1">
        <f t="shared" si="33"/>
        <v>39.5</v>
      </c>
      <c r="I997" s="1">
        <v>88</v>
      </c>
      <c r="J997" s="1">
        <f t="shared" si="34"/>
        <v>67</v>
      </c>
      <c r="M997" s="1">
        <v>19</v>
      </c>
      <c r="P997" s="2" t="s">
        <v>551</v>
      </c>
      <c r="Q997" s="2" t="s">
        <v>551</v>
      </c>
      <c r="R997" s="2" t="s">
        <v>551</v>
      </c>
      <c r="S997" s="1">
        <v>3</v>
      </c>
    </row>
    <row r="998" spans="1:19" x14ac:dyDescent="0.25">
      <c r="A998" s="12">
        <v>41662</v>
      </c>
      <c r="B998" s="14" t="s">
        <v>1013</v>
      </c>
      <c r="C998" s="14"/>
      <c r="D998" s="14"/>
      <c r="E998" s="1">
        <v>68</v>
      </c>
      <c r="F998" s="1">
        <f t="shared" si="32"/>
        <v>42.75</v>
      </c>
      <c r="G998" s="1">
        <v>52</v>
      </c>
      <c r="H998" s="1">
        <f t="shared" si="33"/>
        <v>45</v>
      </c>
      <c r="I998" s="1">
        <v>84</v>
      </c>
      <c r="J998" s="1">
        <f t="shared" si="34"/>
        <v>66</v>
      </c>
      <c r="M998" s="1">
        <v>15</v>
      </c>
      <c r="P998" s="2" t="s">
        <v>551</v>
      </c>
      <c r="Q998" s="2" t="s">
        <v>551</v>
      </c>
      <c r="R998" s="2" t="s">
        <v>551</v>
      </c>
      <c r="S998" s="1">
        <v>4</v>
      </c>
    </row>
    <row r="999" spans="1:19" x14ac:dyDescent="0.25">
      <c r="A999" s="12">
        <v>41669</v>
      </c>
      <c r="B999" s="14" t="s">
        <v>1014</v>
      </c>
      <c r="C999" s="14"/>
      <c r="D999" s="14"/>
      <c r="E999" s="1">
        <v>69</v>
      </c>
      <c r="F999" s="1">
        <f t="shared" si="32"/>
        <v>46</v>
      </c>
      <c r="G999" s="1">
        <v>37</v>
      </c>
      <c r="H999" s="1">
        <f t="shared" si="33"/>
        <v>42.25</v>
      </c>
      <c r="I999" s="1">
        <v>97</v>
      </c>
      <c r="J999" s="1">
        <f t="shared" si="34"/>
        <v>62</v>
      </c>
      <c r="M999" s="1">
        <v>16</v>
      </c>
      <c r="P999" s="2" t="s">
        <v>551</v>
      </c>
      <c r="Q999" s="2" t="s">
        <v>551</v>
      </c>
      <c r="R999" s="2" t="s">
        <v>551</v>
      </c>
      <c r="S999" s="1">
        <v>5</v>
      </c>
    </row>
    <row r="1000" spans="1:19" x14ac:dyDescent="0.25">
      <c r="A1000" s="12">
        <v>41676</v>
      </c>
      <c r="B1000" s="14" t="s">
        <v>1015</v>
      </c>
      <c r="C1000" s="14"/>
      <c r="D1000" s="14"/>
      <c r="E1000" s="1">
        <v>76</v>
      </c>
      <c r="F1000" s="1">
        <f t="shared" si="32"/>
        <v>48.25</v>
      </c>
      <c r="G1000" s="1">
        <v>42</v>
      </c>
      <c r="H1000" s="1">
        <f t="shared" si="33"/>
        <v>41.5</v>
      </c>
      <c r="I1000" s="1">
        <v>97</v>
      </c>
      <c r="J1000" s="1">
        <f t="shared" si="34"/>
        <v>57.25</v>
      </c>
      <c r="M1000" s="1">
        <v>19</v>
      </c>
      <c r="P1000" s="2" t="s">
        <v>551</v>
      </c>
      <c r="Q1000" s="2" t="s">
        <v>551</v>
      </c>
      <c r="R1000" s="2" t="s">
        <v>551</v>
      </c>
      <c r="S1000" s="1">
        <v>6</v>
      </c>
    </row>
    <row r="1001" spans="1:19" x14ac:dyDescent="0.25">
      <c r="A1001" s="12">
        <v>41683</v>
      </c>
      <c r="B1001" s="14" t="s">
        <v>1016</v>
      </c>
      <c r="C1001" s="14"/>
      <c r="D1001" s="14"/>
      <c r="E1001" s="1">
        <v>87</v>
      </c>
      <c r="F1001" s="1">
        <f t="shared" si="32"/>
        <v>47.25</v>
      </c>
      <c r="G1001" s="1">
        <v>48</v>
      </c>
      <c r="H1001" s="1">
        <f t="shared" si="33"/>
        <v>43</v>
      </c>
      <c r="I1001" s="1">
        <v>76</v>
      </c>
      <c r="J1001" s="1">
        <f t="shared" si="34"/>
        <v>54.5</v>
      </c>
      <c r="M1001" s="1">
        <v>21</v>
      </c>
      <c r="P1001" s="2" t="s">
        <v>551</v>
      </c>
      <c r="Q1001" s="2" t="s">
        <v>551</v>
      </c>
      <c r="R1001" s="2" t="s">
        <v>551</v>
      </c>
      <c r="S1001" s="1">
        <v>7</v>
      </c>
    </row>
    <row r="1002" spans="1:19" x14ac:dyDescent="0.25">
      <c r="A1002" s="12">
        <v>41690</v>
      </c>
      <c r="B1002" s="14" t="s">
        <v>1017</v>
      </c>
      <c r="C1002" s="14"/>
      <c r="D1002" s="14"/>
      <c r="E1002" s="1">
        <v>82</v>
      </c>
      <c r="F1002" s="1">
        <f t="shared" si="32"/>
        <v>42.25</v>
      </c>
      <c r="G1002" s="1">
        <v>45</v>
      </c>
      <c r="H1002" s="1">
        <f t="shared" si="33"/>
        <v>40.5</v>
      </c>
      <c r="I1002" s="1">
        <v>67</v>
      </c>
      <c r="J1002" s="1">
        <f t="shared" si="34"/>
        <v>56.75</v>
      </c>
      <c r="M1002" s="1">
        <v>26</v>
      </c>
      <c r="P1002" s="2" t="s">
        <v>551</v>
      </c>
      <c r="Q1002" s="2" t="s">
        <v>551</v>
      </c>
      <c r="R1002" s="2" t="s">
        <v>551</v>
      </c>
      <c r="S1002" s="1">
        <v>8</v>
      </c>
    </row>
    <row r="1003" spans="1:19" x14ac:dyDescent="0.25">
      <c r="A1003" s="12">
        <v>41697</v>
      </c>
      <c r="B1003" s="14" t="s">
        <v>1018</v>
      </c>
      <c r="C1003" s="14"/>
      <c r="D1003" s="14"/>
      <c r="E1003" s="1">
        <v>88</v>
      </c>
      <c r="F1003" s="1">
        <f t="shared" si="32"/>
        <v>45.75</v>
      </c>
      <c r="G1003" s="1">
        <v>43</v>
      </c>
      <c r="H1003" s="1">
        <f t="shared" si="33"/>
        <v>40.75</v>
      </c>
      <c r="I1003" s="1">
        <v>66</v>
      </c>
      <c r="J1003" s="1">
        <f t="shared" si="34"/>
        <v>58</v>
      </c>
      <c r="M1003" s="1">
        <v>22</v>
      </c>
      <c r="P1003" s="2" t="s">
        <v>551</v>
      </c>
      <c r="Q1003" s="2" t="s">
        <v>551</v>
      </c>
      <c r="R1003" s="2" t="s">
        <v>551</v>
      </c>
      <c r="S1003" s="1">
        <v>9</v>
      </c>
    </row>
    <row r="1004" spans="1:19" ht="13.35" customHeight="1" x14ac:dyDescent="0.25">
      <c r="A1004" s="12">
        <v>41704</v>
      </c>
      <c r="B1004" s="14" t="s">
        <v>1019</v>
      </c>
      <c r="C1004" s="14"/>
      <c r="D1004" s="14"/>
      <c r="E1004" s="1">
        <v>82</v>
      </c>
      <c r="F1004" s="1">
        <f t="shared" si="32"/>
        <v>44.5</v>
      </c>
      <c r="G1004" s="1">
        <v>43</v>
      </c>
      <c r="H1004" s="1">
        <f t="shared" si="33"/>
        <v>38.75</v>
      </c>
      <c r="I1004" s="1">
        <v>65</v>
      </c>
      <c r="J1004" s="1">
        <f t="shared" si="34"/>
        <v>50.75</v>
      </c>
      <c r="M1004" s="1">
        <v>25</v>
      </c>
      <c r="P1004" s="2" t="s">
        <v>551</v>
      </c>
      <c r="Q1004" s="2" t="s">
        <v>551</v>
      </c>
      <c r="R1004" s="2" t="s">
        <v>551</v>
      </c>
      <c r="S1004" s="1">
        <v>10</v>
      </c>
    </row>
    <row r="1005" spans="1:19" x14ac:dyDescent="0.25">
      <c r="A1005" s="12">
        <v>41711</v>
      </c>
      <c r="B1005" s="14" t="s">
        <v>1020</v>
      </c>
      <c r="C1005" s="14"/>
      <c r="D1005" s="14"/>
      <c r="E1005" s="1">
        <v>72</v>
      </c>
      <c r="F1005" s="1">
        <f t="shared" si="32"/>
        <v>40.5</v>
      </c>
      <c r="G1005" s="1">
        <v>40</v>
      </c>
      <c r="H1005" s="1">
        <f t="shared" si="33"/>
        <v>42.25</v>
      </c>
      <c r="I1005" s="1">
        <v>55</v>
      </c>
      <c r="J1005" s="1">
        <f t="shared" si="34"/>
        <v>46.25</v>
      </c>
      <c r="M1005" s="1">
        <v>23</v>
      </c>
      <c r="P1005" s="2" t="s">
        <v>551</v>
      </c>
      <c r="Q1005" s="2" t="s">
        <v>551</v>
      </c>
      <c r="R1005" s="2" t="s">
        <v>551</v>
      </c>
      <c r="S1005" s="1">
        <v>11</v>
      </c>
    </row>
    <row r="1006" spans="1:19" x14ac:dyDescent="0.25">
      <c r="A1006" s="12">
        <v>41718</v>
      </c>
      <c r="B1006" s="14" t="s">
        <v>1021</v>
      </c>
      <c r="C1006" s="14"/>
      <c r="D1006" s="14"/>
      <c r="E1006" s="1">
        <v>77</v>
      </c>
      <c r="F1006" s="1">
        <f t="shared" si="32"/>
        <v>35.25</v>
      </c>
      <c r="G1006" s="1">
        <v>45</v>
      </c>
      <c r="H1006" s="1">
        <f t="shared" si="33"/>
        <v>38.5</v>
      </c>
      <c r="I1006" s="1">
        <v>53</v>
      </c>
      <c r="J1006" s="1">
        <f t="shared" si="34"/>
        <v>46.25</v>
      </c>
      <c r="M1006" s="1">
        <v>17</v>
      </c>
      <c r="P1006" s="2" t="s">
        <v>551</v>
      </c>
      <c r="Q1006" s="2" t="s">
        <v>551</v>
      </c>
      <c r="R1006" s="2" t="s">
        <v>551</v>
      </c>
      <c r="S1006" s="1">
        <v>12</v>
      </c>
    </row>
    <row r="1007" spans="1:19" x14ac:dyDescent="0.25">
      <c r="A1007" s="12">
        <v>41725</v>
      </c>
      <c r="B1007" s="14" t="s">
        <v>1022</v>
      </c>
      <c r="C1007" s="14"/>
      <c r="D1007" s="14"/>
      <c r="E1007" s="1">
        <v>63</v>
      </c>
      <c r="F1007" s="1">
        <f t="shared" si="32"/>
        <v>25.5</v>
      </c>
      <c r="G1007" s="1">
        <v>44</v>
      </c>
      <c r="H1007" s="1">
        <f t="shared" si="33"/>
        <v>39.25</v>
      </c>
      <c r="I1007" s="1">
        <v>62</v>
      </c>
      <c r="J1007" s="1">
        <f t="shared" si="34"/>
        <v>46.25</v>
      </c>
      <c r="M1007" s="1">
        <v>14</v>
      </c>
      <c r="P1007" s="2" t="s">
        <v>551</v>
      </c>
      <c r="Q1007" s="2" t="s">
        <v>551</v>
      </c>
      <c r="R1007" s="2" t="s">
        <v>551</v>
      </c>
      <c r="S1007" s="1">
        <v>13</v>
      </c>
    </row>
    <row r="1008" spans="1:19" x14ac:dyDescent="0.25">
      <c r="A1008" s="12">
        <v>41732</v>
      </c>
      <c r="B1008" s="14" t="s">
        <v>1023</v>
      </c>
      <c r="C1008" s="14"/>
      <c r="D1008" s="14"/>
      <c r="E1008" s="1">
        <v>66</v>
      </c>
      <c r="F1008" s="1">
        <f t="shared" si="32"/>
        <v>27.5</v>
      </c>
      <c r="G1008" s="1">
        <v>40</v>
      </c>
      <c r="H1008" s="1">
        <f t="shared" si="33"/>
        <v>33.25</v>
      </c>
      <c r="I1008" s="1">
        <v>62</v>
      </c>
      <c r="J1008" s="1">
        <f t="shared" si="34"/>
        <v>42.75</v>
      </c>
      <c r="M1008" s="1">
        <v>18</v>
      </c>
      <c r="P1008" s="2" t="s">
        <v>551</v>
      </c>
      <c r="Q1008" s="2" t="s">
        <v>551</v>
      </c>
      <c r="R1008" s="2" t="s">
        <v>551</v>
      </c>
      <c r="S1008" s="1">
        <v>14</v>
      </c>
    </row>
    <row r="1009" spans="1:19" x14ac:dyDescent="0.25">
      <c r="A1009" s="12">
        <v>41739</v>
      </c>
      <c r="B1009" s="14" t="s">
        <v>1024</v>
      </c>
      <c r="C1009" s="14"/>
      <c r="D1009" s="14"/>
      <c r="E1009" s="1">
        <v>72</v>
      </c>
      <c r="F1009" s="1">
        <f t="shared" si="32"/>
        <v>25.5</v>
      </c>
      <c r="G1009" s="1">
        <v>50</v>
      </c>
      <c r="H1009" s="1">
        <f t="shared" si="33"/>
        <v>34</v>
      </c>
      <c r="I1009" s="1">
        <v>50</v>
      </c>
      <c r="J1009" s="1">
        <f t="shared" si="34"/>
        <v>35.25</v>
      </c>
      <c r="M1009" s="1">
        <v>19</v>
      </c>
      <c r="P1009" s="2" t="s">
        <v>551</v>
      </c>
      <c r="Q1009" s="2" t="s">
        <v>551</v>
      </c>
      <c r="R1009" s="2" t="s">
        <v>551</v>
      </c>
      <c r="S1009" s="1">
        <v>15</v>
      </c>
    </row>
    <row r="1010" spans="1:19" x14ac:dyDescent="0.25">
      <c r="A1010" s="12">
        <v>41746</v>
      </c>
      <c r="B1010" s="14" t="s">
        <v>1025</v>
      </c>
      <c r="C1010" s="14"/>
      <c r="D1010" s="14"/>
      <c r="E1010" s="1">
        <v>50</v>
      </c>
      <c r="F1010" s="1">
        <f t="shared" si="32"/>
        <v>21.5</v>
      </c>
      <c r="G1010" s="1">
        <v>49</v>
      </c>
      <c r="H1010" s="1">
        <f t="shared" si="33"/>
        <v>30</v>
      </c>
      <c r="I1010" s="1">
        <v>40</v>
      </c>
      <c r="J1010" s="1">
        <f t="shared" si="34"/>
        <v>37.75</v>
      </c>
      <c r="M1010" s="1">
        <v>23</v>
      </c>
      <c r="P1010" s="2" t="s">
        <v>551</v>
      </c>
      <c r="Q1010" s="2" t="s">
        <v>551</v>
      </c>
      <c r="R1010" s="2" t="s">
        <v>551</v>
      </c>
      <c r="S1010" s="1">
        <v>16</v>
      </c>
    </row>
    <row r="1011" spans="1:19" x14ac:dyDescent="0.25">
      <c r="A1011" s="12">
        <v>41753</v>
      </c>
      <c r="B1011" s="14" t="s">
        <v>1026</v>
      </c>
      <c r="C1011" s="14"/>
      <c r="D1011" s="14"/>
      <c r="E1011" s="1">
        <v>42</v>
      </c>
      <c r="F1011" s="1">
        <f t="shared" si="32"/>
        <v>20.5</v>
      </c>
      <c r="G1011" s="1">
        <v>39</v>
      </c>
      <c r="H1011" s="1">
        <f t="shared" si="33"/>
        <v>28.75</v>
      </c>
      <c r="I1011" s="1">
        <v>50</v>
      </c>
      <c r="J1011" s="1">
        <f t="shared" si="34"/>
        <v>39.75</v>
      </c>
      <c r="M1011" s="1">
        <v>16</v>
      </c>
      <c r="P1011" s="2" t="s">
        <v>551</v>
      </c>
      <c r="Q1011" s="2" t="s">
        <v>551</v>
      </c>
      <c r="R1011" s="2" t="s">
        <v>551</v>
      </c>
      <c r="S1011" s="1">
        <v>17</v>
      </c>
    </row>
    <row r="1012" spans="1:19" x14ac:dyDescent="0.25">
      <c r="A1012" s="12">
        <v>41760</v>
      </c>
      <c r="B1012" s="14" t="s">
        <v>1027</v>
      </c>
      <c r="C1012" s="14"/>
      <c r="D1012" s="14"/>
      <c r="E1012" s="1">
        <v>33</v>
      </c>
      <c r="F1012" s="1">
        <f t="shared" si="32"/>
        <v>26.5</v>
      </c>
      <c r="G1012" s="1">
        <v>36</v>
      </c>
      <c r="H1012" s="1">
        <f t="shared" si="33"/>
        <v>27.75</v>
      </c>
      <c r="I1012" s="1">
        <v>47</v>
      </c>
      <c r="J1012" s="1">
        <f t="shared" si="34"/>
        <v>42.25</v>
      </c>
      <c r="M1012" s="1">
        <v>12</v>
      </c>
      <c r="P1012" s="2" t="s">
        <v>551</v>
      </c>
      <c r="Q1012" s="2" t="s">
        <v>551</v>
      </c>
      <c r="R1012" s="2" t="s">
        <v>551</v>
      </c>
      <c r="S1012" s="1">
        <v>18</v>
      </c>
    </row>
    <row r="1013" spans="1:19" x14ac:dyDescent="0.25">
      <c r="A1013" s="12">
        <v>41767</v>
      </c>
      <c r="B1013" s="14" t="s">
        <v>1028</v>
      </c>
      <c r="C1013" s="14"/>
      <c r="D1013" s="14"/>
      <c r="E1013" s="1">
        <v>36</v>
      </c>
      <c r="F1013" s="1">
        <f t="shared" si="32"/>
        <v>24.25</v>
      </c>
      <c r="G1013" s="1">
        <v>33</v>
      </c>
      <c r="H1013" s="1">
        <f t="shared" si="33"/>
        <v>32.25</v>
      </c>
      <c r="I1013" s="1">
        <v>46</v>
      </c>
      <c r="J1013" s="1">
        <f t="shared" si="34"/>
        <v>41</v>
      </c>
      <c r="M1013" s="1">
        <v>7</v>
      </c>
      <c r="P1013" s="2" t="s">
        <v>551</v>
      </c>
      <c r="Q1013" s="2" t="s">
        <v>551</v>
      </c>
      <c r="R1013" s="2" t="s">
        <v>551</v>
      </c>
      <c r="S1013" s="1">
        <v>19</v>
      </c>
    </row>
    <row r="1014" spans="1:19" x14ac:dyDescent="0.25">
      <c r="A1014" s="12">
        <v>41774</v>
      </c>
      <c r="B1014" s="14" t="s">
        <v>1029</v>
      </c>
      <c r="C1014" s="14"/>
      <c r="D1014" s="14"/>
      <c r="E1014" s="1">
        <v>42</v>
      </c>
      <c r="F1014" s="1">
        <f t="shared" si="32"/>
        <v>26.75</v>
      </c>
      <c r="G1014" s="1">
        <v>30</v>
      </c>
      <c r="H1014" s="1">
        <f t="shared" si="33"/>
        <v>28.75</v>
      </c>
      <c r="I1014" s="1">
        <v>51</v>
      </c>
      <c r="J1014" s="1">
        <f t="shared" si="34"/>
        <v>42.5</v>
      </c>
      <c r="M1014" s="1">
        <v>7</v>
      </c>
      <c r="P1014" s="2" t="s">
        <v>551</v>
      </c>
      <c r="Q1014" s="2" t="s">
        <v>551</v>
      </c>
      <c r="R1014" s="2" t="s">
        <v>551</v>
      </c>
      <c r="S1014" s="1">
        <v>20</v>
      </c>
    </row>
    <row r="1015" spans="1:19" x14ac:dyDescent="0.25">
      <c r="A1015" s="12">
        <v>41781</v>
      </c>
      <c r="B1015" s="14" t="s">
        <v>1030</v>
      </c>
      <c r="C1015" s="14"/>
      <c r="D1015" s="14"/>
      <c r="E1015" s="1">
        <v>39</v>
      </c>
      <c r="F1015" s="1">
        <f t="shared" si="32"/>
        <v>26</v>
      </c>
      <c r="G1015" s="1">
        <v>29</v>
      </c>
      <c r="H1015" s="1">
        <f t="shared" si="33"/>
        <v>33.25</v>
      </c>
      <c r="I1015" s="1">
        <v>46</v>
      </c>
      <c r="J1015" s="1">
        <f t="shared" si="34"/>
        <v>39.5</v>
      </c>
      <c r="M1015" s="1">
        <v>6</v>
      </c>
      <c r="P1015" s="2" t="s">
        <v>551</v>
      </c>
      <c r="Q1015" s="2" t="s">
        <v>551</v>
      </c>
      <c r="R1015" s="2" t="s">
        <v>551</v>
      </c>
      <c r="S1015" s="1">
        <v>21</v>
      </c>
    </row>
    <row r="1016" spans="1:19" x14ac:dyDescent="0.25">
      <c r="A1016" s="12">
        <v>41788</v>
      </c>
      <c r="B1016" s="14" t="s">
        <v>1031</v>
      </c>
      <c r="C1016" s="14"/>
      <c r="D1016" s="14"/>
      <c r="E1016" s="1">
        <v>34</v>
      </c>
      <c r="F1016" s="1">
        <f t="shared" si="32"/>
        <v>22</v>
      </c>
      <c r="G1016" s="1">
        <v>35</v>
      </c>
      <c r="H1016" s="1">
        <f t="shared" si="33"/>
        <v>29.25</v>
      </c>
      <c r="I1016" s="1">
        <v>48</v>
      </c>
      <c r="J1016" s="1">
        <f t="shared" si="34"/>
        <v>38.5</v>
      </c>
      <c r="M1016" s="1">
        <v>12</v>
      </c>
      <c r="P1016" s="2" t="s">
        <v>551</v>
      </c>
      <c r="Q1016" s="2" t="s">
        <v>551</v>
      </c>
      <c r="R1016" s="2" t="s">
        <v>551</v>
      </c>
      <c r="S1016" s="1">
        <v>22</v>
      </c>
    </row>
    <row r="1017" spans="1:19" x14ac:dyDescent="0.25">
      <c r="A1017" s="12">
        <v>41795</v>
      </c>
      <c r="B1017" s="14" t="s">
        <v>1032</v>
      </c>
      <c r="C1017" s="14"/>
      <c r="D1017" s="14"/>
      <c r="E1017" s="1">
        <v>33</v>
      </c>
      <c r="F1017" s="1">
        <f t="shared" si="32"/>
        <v>18.25</v>
      </c>
      <c r="G1017" s="1">
        <v>37</v>
      </c>
      <c r="H1017" s="1">
        <f t="shared" si="33"/>
        <v>29</v>
      </c>
      <c r="I1017" s="1">
        <v>44</v>
      </c>
      <c r="J1017" s="1">
        <f t="shared" si="34"/>
        <v>38.25</v>
      </c>
      <c r="M1017" s="1">
        <v>15</v>
      </c>
      <c r="P1017" s="2" t="s">
        <v>551</v>
      </c>
      <c r="Q1017" s="2" t="s">
        <v>551</v>
      </c>
      <c r="R1017" s="2" t="s">
        <v>551</v>
      </c>
      <c r="S1017" s="1">
        <v>23</v>
      </c>
    </row>
    <row r="1018" spans="1:19" x14ac:dyDescent="0.25">
      <c r="A1018" s="12">
        <v>41802</v>
      </c>
      <c r="B1018" s="14" t="s">
        <v>1033</v>
      </c>
      <c r="C1018" s="14"/>
      <c r="D1018" s="14"/>
      <c r="E1018" s="1">
        <v>33</v>
      </c>
      <c r="F1018" s="1">
        <f t="shared" si="32"/>
        <v>22.25</v>
      </c>
      <c r="G1018" s="1">
        <v>31</v>
      </c>
      <c r="H1018" s="1">
        <f t="shared" si="33"/>
        <v>28.25</v>
      </c>
      <c r="I1018" s="1">
        <v>29</v>
      </c>
      <c r="J1018" s="1">
        <f t="shared" si="34"/>
        <v>39</v>
      </c>
      <c r="M1018" s="1">
        <v>14</v>
      </c>
      <c r="P1018" s="2" t="s">
        <v>551</v>
      </c>
      <c r="Q1018" s="2" t="s">
        <v>551</v>
      </c>
      <c r="R1018" s="2" t="s">
        <v>551</v>
      </c>
      <c r="S1018" s="1">
        <v>24</v>
      </c>
    </row>
    <row r="1019" spans="1:19" x14ac:dyDescent="0.25">
      <c r="A1019" s="12">
        <v>41809</v>
      </c>
      <c r="B1019" s="14" t="s">
        <v>1034</v>
      </c>
      <c r="C1019" s="14"/>
      <c r="D1019" s="14"/>
      <c r="E1019" s="1">
        <v>18</v>
      </c>
      <c r="F1019" s="1">
        <f t="shared" si="32"/>
        <v>19.25</v>
      </c>
      <c r="G1019" s="1">
        <v>32</v>
      </c>
      <c r="H1019" s="1">
        <f t="shared" si="33"/>
        <v>30.75</v>
      </c>
      <c r="I1019" s="1">
        <v>32</v>
      </c>
      <c r="J1019" s="1">
        <f t="shared" si="34"/>
        <v>49.75</v>
      </c>
      <c r="M1019" s="1">
        <v>12</v>
      </c>
      <c r="P1019" s="2" t="s">
        <v>551</v>
      </c>
      <c r="Q1019" s="2" t="s">
        <v>551</v>
      </c>
      <c r="R1019" s="2" t="s">
        <v>551</v>
      </c>
      <c r="S1019" s="1">
        <v>25</v>
      </c>
    </row>
    <row r="1020" spans="1:19" x14ac:dyDescent="0.25">
      <c r="A1020" s="12">
        <v>41816</v>
      </c>
      <c r="B1020" s="14" t="s">
        <v>1035</v>
      </c>
      <c r="C1020" s="14"/>
      <c r="D1020" s="14"/>
      <c r="E1020" s="1">
        <v>28</v>
      </c>
      <c r="F1020" s="1">
        <f t="shared" si="32"/>
        <v>22</v>
      </c>
      <c r="G1020" s="1">
        <v>24</v>
      </c>
      <c r="H1020" s="1">
        <f t="shared" si="33"/>
        <v>30.5</v>
      </c>
      <c r="I1020" s="1">
        <v>52</v>
      </c>
      <c r="J1020" s="1">
        <f t="shared" si="34"/>
        <v>46</v>
      </c>
      <c r="M1020" s="1">
        <v>12</v>
      </c>
      <c r="P1020" s="2" t="s">
        <v>551</v>
      </c>
      <c r="Q1020" s="2" t="s">
        <v>551</v>
      </c>
      <c r="R1020" s="2" t="s">
        <v>551</v>
      </c>
      <c r="S1020" s="1">
        <v>26</v>
      </c>
    </row>
    <row r="1021" spans="1:19" x14ac:dyDescent="0.25">
      <c r="A1021" s="12">
        <v>41823</v>
      </c>
      <c r="B1021" s="14" t="s">
        <v>1036</v>
      </c>
      <c r="C1021" s="14"/>
      <c r="D1021" s="14"/>
      <c r="E1021" s="1">
        <v>32</v>
      </c>
      <c r="F1021" s="1">
        <f t="shared" si="32"/>
        <v>23</v>
      </c>
      <c r="G1021" s="1">
        <v>26</v>
      </c>
      <c r="H1021" s="1">
        <f t="shared" si="33"/>
        <v>34</v>
      </c>
      <c r="I1021" s="1">
        <v>48</v>
      </c>
      <c r="J1021" s="1">
        <f t="shared" si="34"/>
        <v>46</v>
      </c>
      <c r="M1021" s="1">
        <v>11</v>
      </c>
      <c r="P1021" s="2" t="s">
        <v>551</v>
      </c>
      <c r="Q1021" s="2" t="s">
        <v>551</v>
      </c>
      <c r="R1021" s="2" t="s">
        <v>551</v>
      </c>
      <c r="S1021" s="1">
        <v>27</v>
      </c>
    </row>
    <row r="1022" spans="1:19" x14ac:dyDescent="0.25">
      <c r="A1022" s="12">
        <v>41830</v>
      </c>
      <c r="B1022" s="14" t="s">
        <v>1037</v>
      </c>
      <c r="C1022" s="14"/>
      <c r="D1022" s="14"/>
      <c r="E1022" s="1">
        <v>29</v>
      </c>
      <c r="F1022" s="1">
        <f t="shared" si="32"/>
        <v>23</v>
      </c>
      <c r="G1022" s="1">
        <v>31</v>
      </c>
      <c r="H1022" s="1">
        <f t="shared" si="33"/>
        <v>30.25</v>
      </c>
      <c r="I1022" s="1">
        <v>41</v>
      </c>
      <c r="J1022" s="1">
        <f t="shared" si="34"/>
        <v>45.5</v>
      </c>
      <c r="M1022" s="2">
        <v>12</v>
      </c>
      <c r="P1022" s="2" t="s">
        <v>551</v>
      </c>
      <c r="Q1022" s="2" t="s">
        <v>551</v>
      </c>
      <c r="R1022" s="2" t="s">
        <v>551</v>
      </c>
      <c r="S1022" s="1">
        <v>28</v>
      </c>
    </row>
    <row r="1023" spans="1:19" x14ac:dyDescent="0.25">
      <c r="A1023" s="12">
        <v>41837</v>
      </c>
      <c r="B1023" s="14" t="s">
        <v>1038</v>
      </c>
      <c r="C1023" s="14"/>
      <c r="D1023" s="14"/>
      <c r="E1023" s="1">
        <v>29</v>
      </c>
      <c r="F1023" s="1">
        <f t="shared" si="32"/>
        <v>24.25</v>
      </c>
      <c r="G1023" s="1">
        <v>31</v>
      </c>
      <c r="H1023" s="1">
        <f t="shared" si="33"/>
        <v>30.5</v>
      </c>
      <c r="I1023" s="1">
        <v>33</v>
      </c>
      <c r="J1023" s="1">
        <f t="shared" si="34"/>
        <v>44.5</v>
      </c>
      <c r="M1023" s="1">
        <v>12</v>
      </c>
      <c r="P1023" s="2" t="s">
        <v>551</v>
      </c>
      <c r="Q1023" s="2" t="s">
        <v>551</v>
      </c>
      <c r="R1023" s="2" t="s">
        <v>551</v>
      </c>
      <c r="S1023" s="1">
        <v>29</v>
      </c>
    </row>
    <row r="1024" spans="1:19" x14ac:dyDescent="0.25">
      <c r="A1024" s="12">
        <v>41844</v>
      </c>
      <c r="B1024" s="14" t="s">
        <v>1039</v>
      </c>
      <c r="C1024" s="14"/>
      <c r="D1024" s="14"/>
      <c r="E1024" s="1">
        <v>37</v>
      </c>
      <c r="F1024" s="1">
        <f t="shared" si="32"/>
        <v>26</v>
      </c>
      <c r="G1024" s="1">
        <v>26</v>
      </c>
      <c r="H1024" s="1">
        <f t="shared" si="33"/>
        <v>30.25</v>
      </c>
      <c r="I1024" s="1">
        <v>41</v>
      </c>
      <c r="J1024" s="1">
        <f t="shared" si="34"/>
        <v>50</v>
      </c>
      <c r="M1024" s="1">
        <v>12</v>
      </c>
      <c r="P1024" s="2" t="s">
        <v>551</v>
      </c>
      <c r="Q1024" s="2" t="s">
        <v>551</v>
      </c>
      <c r="R1024" s="2" t="s">
        <v>551</v>
      </c>
      <c r="S1024" s="1">
        <v>30</v>
      </c>
    </row>
    <row r="1025" spans="1:19" x14ac:dyDescent="0.25">
      <c r="A1025" s="12">
        <v>41851</v>
      </c>
      <c r="B1025" s="14" t="s">
        <v>1040</v>
      </c>
      <c r="C1025" s="14"/>
      <c r="D1025" s="14"/>
      <c r="E1025" s="1">
        <v>33</v>
      </c>
      <c r="F1025" s="1">
        <f t="shared" si="32"/>
        <v>27.75</v>
      </c>
      <c r="G1025" s="1">
        <v>35</v>
      </c>
      <c r="H1025" s="1">
        <f t="shared" si="33"/>
        <v>32.75</v>
      </c>
      <c r="I1025" s="1">
        <v>45</v>
      </c>
      <c r="J1025" s="1">
        <f t="shared" si="34"/>
        <v>48.25</v>
      </c>
      <c r="M1025" s="1">
        <v>9</v>
      </c>
      <c r="P1025" s="2" t="s">
        <v>551</v>
      </c>
      <c r="Q1025" s="2" t="s">
        <v>551</v>
      </c>
      <c r="R1025" s="2" t="s">
        <v>551</v>
      </c>
      <c r="S1025" s="1">
        <v>31</v>
      </c>
    </row>
    <row r="1026" spans="1:19" x14ac:dyDescent="0.25">
      <c r="A1026" s="12">
        <v>41858</v>
      </c>
      <c r="B1026" s="14" t="s">
        <v>1041</v>
      </c>
      <c r="C1026" s="14"/>
      <c r="D1026" s="14"/>
      <c r="E1026" s="1">
        <v>32</v>
      </c>
      <c r="F1026" s="1">
        <f t="shared" si="32"/>
        <v>29.25</v>
      </c>
      <c r="G1026" s="1">
        <v>32</v>
      </c>
      <c r="H1026" s="1">
        <f t="shared" si="33"/>
        <v>32.75</v>
      </c>
      <c r="I1026" s="1">
        <v>49</v>
      </c>
      <c r="J1026" s="1">
        <f t="shared" si="34"/>
        <v>44.5</v>
      </c>
      <c r="M1026" s="1">
        <v>11</v>
      </c>
      <c r="P1026" s="2" t="s">
        <v>551</v>
      </c>
      <c r="Q1026" s="2" t="s">
        <v>551</v>
      </c>
      <c r="R1026" s="2" t="s">
        <v>551</v>
      </c>
      <c r="S1026" s="1">
        <v>32</v>
      </c>
    </row>
    <row r="1027" spans="1:19" x14ac:dyDescent="0.25">
      <c r="A1027" s="12">
        <v>41865</v>
      </c>
      <c r="B1027" s="14" t="s">
        <v>1042</v>
      </c>
      <c r="C1027" s="14"/>
      <c r="D1027" s="14"/>
      <c r="E1027" s="1">
        <v>27</v>
      </c>
      <c r="F1027" s="1">
        <f t="shared" si="32"/>
        <v>32.25</v>
      </c>
      <c r="G1027" s="1">
        <v>29</v>
      </c>
      <c r="H1027" s="1">
        <f t="shared" si="33"/>
        <v>33.75</v>
      </c>
      <c r="I1027" s="1">
        <v>50</v>
      </c>
      <c r="J1027" s="1">
        <f t="shared" si="34"/>
        <v>44.75</v>
      </c>
      <c r="M1027" s="1">
        <v>17</v>
      </c>
      <c r="P1027" s="2" t="s">
        <v>551</v>
      </c>
      <c r="Q1027" s="2" t="s">
        <v>551</v>
      </c>
      <c r="R1027" s="2" t="s">
        <v>551</v>
      </c>
      <c r="S1027" s="1">
        <v>33</v>
      </c>
    </row>
    <row r="1028" spans="1:19" x14ac:dyDescent="0.25">
      <c r="A1028" s="12">
        <v>41872</v>
      </c>
      <c r="B1028" s="14" t="s">
        <v>1043</v>
      </c>
      <c r="C1028" s="14"/>
      <c r="D1028" s="14"/>
      <c r="E1028" s="1">
        <v>23</v>
      </c>
      <c r="F1028" s="1">
        <f t="shared" si="32"/>
        <v>30</v>
      </c>
      <c r="G1028" s="1">
        <v>33</v>
      </c>
      <c r="H1028" s="1">
        <f t="shared" si="33"/>
        <v>32</v>
      </c>
      <c r="I1028" s="1">
        <v>45</v>
      </c>
      <c r="J1028" s="1">
        <f t="shared" si="34"/>
        <v>45.25</v>
      </c>
      <c r="M1028" s="1">
        <v>15</v>
      </c>
      <c r="P1028" s="2" t="s">
        <v>551</v>
      </c>
      <c r="Q1028" s="2" t="s">
        <v>551</v>
      </c>
      <c r="R1028" s="2" t="s">
        <v>551</v>
      </c>
      <c r="S1028" s="1">
        <v>34</v>
      </c>
    </row>
    <row r="1029" spans="1:19" x14ac:dyDescent="0.25">
      <c r="A1029" s="12">
        <v>41879</v>
      </c>
      <c r="B1029" s="14" t="s">
        <v>1044</v>
      </c>
      <c r="C1029" s="14"/>
      <c r="D1029" s="14"/>
      <c r="E1029" s="1">
        <v>28</v>
      </c>
      <c r="F1029" s="1">
        <f t="shared" si="32"/>
        <v>29.25</v>
      </c>
      <c r="G1029" s="1">
        <v>25</v>
      </c>
      <c r="H1029" s="1">
        <f t="shared" si="33"/>
        <v>32</v>
      </c>
      <c r="I1029" s="1">
        <v>48</v>
      </c>
      <c r="J1029" s="1">
        <f t="shared" si="34"/>
        <v>48.75</v>
      </c>
      <c r="M1029" s="1">
        <v>13</v>
      </c>
      <c r="P1029" s="2" t="s">
        <v>551</v>
      </c>
      <c r="Q1029" s="2" t="s">
        <v>551</v>
      </c>
      <c r="R1029" s="2" t="s">
        <v>551</v>
      </c>
      <c r="S1029" s="1">
        <v>35</v>
      </c>
    </row>
    <row r="1030" spans="1:19" x14ac:dyDescent="0.25">
      <c r="A1030" s="12">
        <v>41886</v>
      </c>
      <c r="B1030" s="14" t="s">
        <v>1045</v>
      </c>
      <c r="C1030" s="14"/>
      <c r="D1030" s="14"/>
      <c r="E1030" s="1">
        <v>28</v>
      </c>
      <c r="F1030" s="1">
        <f t="shared" si="32"/>
        <v>29.25</v>
      </c>
      <c r="G1030" s="1">
        <v>30</v>
      </c>
      <c r="H1030" s="1">
        <f t="shared" si="33"/>
        <v>28.5</v>
      </c>
      <c r="I1030" s="1">
        <v>49</v>
      </c>
      <c r="J1030" s="1">
        <f t="shared" si="34"/>
        <v>59.25</v>
      </c>
      <c r="M1030" s="1">
        <v>14</v>
      </c>
      <c r="P1030" s="2" t="s">
        <v>551</v>
      </c>
      <c r="Q1030" s="2" t="s">
        <v>551</v>
      </c>
      <c r="R1030" s="2" t="s">
        <v>551</v>
      </c>
      <c r="S1030" s="1">
        <v>36</v>
      </c>
    </row>
    <row r="1031" spans="1:19" x14ac:dyDescent="0.25">
      <c r="A1031" s="12">
        <v>41893</v>
      </c>
      <c r="B1031" s="14" t="s">
        <v>1046</v>
      </c>
      <c r="C1031" s="14"/>
      <c r="D1031" s="14"/>
      <c r="E1031" s="2">
        <v>20</v>
      </c>
      <c r="F1031" s="1">
        <f t="shared" si="32"/>
        <v>34.25</v>
      </c>
      <c r="G1031" s="2">
        <v>36</v>
      </c>
      <c r="H1031" s="1">
        <f t="shared" si="33"/>
        <v>36.75</v>
      </c>
      <c r="I1031" s="1">
        <v>62</v>
      </c>
      <c r="J1031" s="1">
        <f t="shared" si="34"/>
        <v>55.25</v>
      </c>
      <c r="M1031" s="1">
        <v>9</v>
      </c>
      <c r="P1031" s="2" t="s">
        <v>551</v>
      </c>
      <c r="Q1031" s="2" t="s">
        <v>551</v>
      </c>
      <c r="R1031" s="2" t="s">
        <v>551</v>
      </c>
      <c r="S1031" s="1">
        <v>37</v>
      </c>
    </row>
    <row r="1032" spans="1:19" x14ac:dyDescent="0.25">
      <c r="A1032" s="12">
        <v>41900</v>
      </c>
      <c r="B1032" s="14" t="s">
        <v>1047</v>
      </c>
      <c r="C1032" s="14"/>
      <c r="D1032" s="14"/>
      <c r="E1032" s="1">
        <v>33</v>
      </c>
      <c r="F1032" s="1">
        <f t="shared" si="32"/>
        <v>33.5</v>
      </c>
      <c r="G1032" s="1">
        <v>29</v>
      </c>
      <c r="H1032" s="1">
        <f t="shared" si="33"/>
        <v>40.75</v>
      </c>
      <c r="I1032" s="1">
        <v>60</v>
      </c>
      <c r="J1032" s="1">
        <f t="shared" si="34"/>
        <v>57.75</v>
      </c>
      <c r="M1032" s="1">
        <v>11</v>
      </c>
      <c r="P1032" s="2" t="s">
        <v>551</v>
      </c>
      <c r="Q1032" s="2" t="s">
        <v>551</v>
      </c>
      <c r="R1032" s="2" t="s">
        <v>551</v>
      </c>
      <c r="S1032" s="1">
        <v>38</v>
      </c>
    </row>
    <row r="1033" spans="1:19" x14ac:dyDescent="0.25">
      <c r="A1033" s="12">
        <v>41907</v>
      </c>
      <c r="B1033" s="14" t="s">
        <v>1048</v>
      </c>
      <c r="C1033" s="14"/>
      <c r="D1033" s="14"/>
      <c r="E1033" s="1">
        <v>36</v>
      </c>
      <c r="F1033" s="1">
        <f t="shared" si="32"/>
        <v>40</v>
      </c>
      <c r="G1033" s="1">
        <v>44</v>
      </c>
      <c r="H1033" s="1">
        <f t="shared" si="33"/>
        <v>38.25</v>
      </c>
      <c r="I1033" s="1">
        <v>74</v>
      </c>
      <c r="J1033" s="1">
        <f t="shared" si="34"/>
        <v>58</v>
      </c>
      <c r="M1033" s="1">
        <v>15</v>
      </c>
      <c r="P1033" s="2" t="s">
        <v>551</v>
      </c>
      <c r="Q1033" s="2" t="s">
        <v>551</v>
      </c>
      <c r="R1033" s="2" t="s">
        <v>551</v>
      </c>
      <c r="S1033" s="1">
        <v>39</v>
      </c>
    </row>
    <row r="1034" spans="1:19" x14ac:dyDescent="0.25">
      <c r="A1034" s="12">
        <v>41914</v>
      </c>
      <c r="B1034" s="14" t="s">
        <v>1049</v>
      </c>
      <c r="C1034" s="14"/>
      <c r="D1034" s="14"/>
      <c r="E1034" s="1">
        <v>45</v>
      </c>
      <c r="F1034" s="1">
        <f t="shared" si="32"/>
        <v>40.25</v>
      </c>
      <c r="G1034" s="1">
        <v>41</v>
      </c>
      <c r="H1034" s="1">
        <f t="shared" si="33"/>
        <v>38.25</v>
      </c>
      <c r="I1034" s="1">
        <v>61</v>
      </c>
      <c r="J1034" s="1">
        <f t="shared" si="34"/>
        <v>58</v>
      </c>
      <c r="M1034" s="1">
        <v>14</v>
      </c>
      <c r="P1034" s="2" t="s">
        <v>551</v>
      </c>
      <c r="Q1034" s="2" t="s">
        <v>551</v>
      </c>
      <c r="R1034" s="2" t="s">
        <v>551</v>
      </c>
      <c r="S1034" s="1">
        <v>40</v>
      </c>
    </row>
    <row r="1035" spans="1:19" x14ac:dyDescent="0.25">
      <c r="A1035" s="12">
        <v>41921</v>
      </c>
      <c r="B1035" s="14" t="s">
        <v>1050</v>
      </c>
      <c r="C1035" s="14"/>
      <c r="D1035" s="14"/>
      <c r="E1035" s="1">
        <v>42</v>
      </c>
      <c r="F1035" s="1">
        <f t="shared" si="32"/>
        <v>43.25</v>
      </c>
      <c r="G1035" s="1">
        <v>44</v>
      </c>
      <c r="H1035" s="1">
        <f t="shared" si="33"/>
        <v>41</v>
      </c>
      <c r="I1035" s="1">
        <v>79</v>
      </c>
      <c r="J1035" s="1">
        <f t="shared" si="34"/>
        <v>64.75</v>
      </c>
      <c r="M1035" s="1">
        <v>14</v>
      </c>
      <c r="P1035" s="2" t="s">
        <v>551</v>
      </c>
      <c r="Q1035" s="2" t="s">
        <v>551</v>
      </c>
      <c r="R1035" s="2" t="s">
        <v>551</v>
      </c>
      <c r="S1035" s="1">
        <v>41</v>
      </c>
    </row>
    <row r="1036" spans="1:19" x14ac:dyDescent="0.25">
      <c r="A1036" s="12">
        <v>41928</v>
      </c>
      <c r="B1036" s="14" t="s">
        <v>1051</v>
      </c>
      <c r="C1036" s="14"/>
      <c r="D1036" s="14"/>
      <c r="E1036" s="1">
        <v>50</v>
      </c>
      <c r="F1036" s="1">
        <f t="shared" si="32"/>
        <v>42.5</v>
      </c>
      <c r="G1036" s="1">
        <v>45</v>
      </c>
      <c r="H1036" s="1">
        <f t="shared" si="33"/>
        <v>47.75</v>
      </c>
      <c r="I1036" s="1">
        <v>66</v>
      </c>
      <c r="J1036" s="1">
        <f t="shared" si="34"/>
        <v>64.25</v>
      </c>
      <c r="M1036" s="1">
        <v>12</v>
      </c>
      <c r="P1036" s="2" t="s">
        <v>551</v>
      </c>
      <c r="Q1036" s="2" t="s">
        <v>551</v>
      </c>
      <c r="R1036" s="2" t="s">
        <v>551</v>
      </c>
      <c r="S1036" s="1">
        <v>42</v>
      </c>
    </row>
    <row r="1037" spans="1:19" x14ac:dyDescent="0.25">
      <c r="A1037" s="12">
        <v>41935</v>
      </c>
      <c r="B1037" s="14" t="s">
        <v>1052</v>
      </c>
      <c r="C1037" s="14"/>
      <c r="D1037" s="14"/>
      <c r="E1037" s="1">
        <v>55</v>
      </c>
      <c r="F1037" s="1">
        <f t="shared" si="32"/>
        <v>44.5</v>
      </c>
      <c r="G1037" s="1">
        <v>41</v>
      </c>
      <c r="H1037" s="1">
        <f t="shared" si="33"/>
        <v>43.5</v>
      </c>
      <c r="I1037" s="1">
        <v>60</v>
      </c>
      <c r="J1037" s="1">
        <f t="shared" si="34"/>
        <v>59.25</v>
      </c>
      <c r="M1037" s="1">
        <v>15</v>
      </c>
      <c r="P1037" s="2" t="s">
        <v>551</v>
      </c>
      <c r="Q1037" s="2" t="s">
        <v>551</v>
      </c>
      <c r="R1037" s="2" t="s">
        <v>551</v>
      </c>
      <c r="S1037" s="1">
        <v>43</v>
      </c>
    </row>
    <row r="1038" spans="1:19" x14ac:dyDescent="0.25">
      <c r="A1038" s="12">
        <v>41942</v>
      </c>
      <c r="B1038" s="14" t="s">
        <v>1053</v>
      </c>
      <c r="C1038" s="14"/>
      <c r="D1038" s="14"/>
      <c r="E1038" s="1">
        <v>48</v>
      </c>
      <c r="F1038" s="1">
        <f t="shared" si="32"/>
        <v>40</v>
      </c>
      <c r="G1038" s="1">
        <v>45</v>
      </c>
      <c r="H1038" s="1">
        <f t="shared" si="33"/>
        <v>40.25</v>
      </c>
      <c r="I1038" s="1">
        <v>65</v>
      </c>
      <c r="J1038" s="1">
        <f t="shared" si="34"/>
        <v>65</v>
      </c>
      <c r="M1038" s="1">
        <v>14</v>
      </c>
      <c r="P1038" s="2" t="s">
        <v>551</v>
      </c>
      <c r="Q1038" s="2" t="s">
        <v>551</v>
      </c>
      <c r="R1038" s="2" t="s">
        <v>551</v>
      </c>
      <c r="S1038" s="1">
        <v>44</v>
      </c>
    </row>
    <row r="1039" spans="1:19" x14ac:dyDescent="0.25">
      <c r="A1039" s="12">
        <v>41949</v>
      </c>
      <c r="B1039" s="14" t="s">
        <v>1054</v>
      </c>
      <c r="C1039" s="14"/>
      <c r="D1039" s="14"/>
      <c r="E1039" s="1">
        <v>52</v>
      </c>
      <c r="F1039" s="1">
        <f t="shared" si="32"/>
        <v>41.25</v>
      </c>
      <c r="G1039" s="1">
        <v>48</v>
      </c>
      <c r="H1039" s="1">
        <f t="shared" si="33"/>
        <v>41</v>
      </c>
      <c r="I1039" s="1">
        <v>73</v>
      </c>
      <c r="J1039" s="1">
        <f t="shared" si="34"/>
        <v>63.25</v>
      </c>
      <c r="M1039" s="1">
        <v>13</v>
      </c>
      <c r="P1039" s="2" t="s">
        <v>551</v>
      </c>
      <c r="Q1039" s="2" t="s">
        <v>551</v>
      </c>
      <c r="R1039" s="2" t="s">
        <v>551</v>
      </c>
      <c r="S1039" s="1">
        <v>45</v>
      </c>
    </row>
    <row r="1040" spans="1:19" x14ac:dyDescent="0.25">
      <c r="A1040" s="12">
        <v>41956</v>
      </c>
      <c r="B1040" s="14" t="s">
        <v>1055</v>
      </c>
      <c r="C1040" s="14"/>
      <c r="D1040" s="14"/>
      <c r="E1040" s="1">
        <v>49</v>
      </c>
      <c r="F1040" s="1">
        <f t="shared" si="32"/>
        <v>42.5</v>
      </c>
      <c r="G1040" s="1">
        <v>47</v>
      </c>
      <c r="H1040" s="1">
        <f t="shared" si="33"/>
        <v>48.75</v>
      </c>
      <c r="I1040" s="1">
        <v>72</v>
      </c>
      <c r="J1040" s="1">
        <f t="shared" si="34"/>
        <v>53</v>
      </c>
      <c r="M1040" s="1">
        <v>18</v>
      </c>
      <c r="P1040" s="2" t="s">
        <v>551</v>
      </c>
      <c r="Q1040" s="2" t="s">
        <v>551</v>
      </c>
      <c r="R1040" s="2" t="s">
        <v>551</v>
      </c>
      <c r="S1040" s="1">
        <v>46</v>
      </c>
    </row>
    <row r="1041" spans="1:19" x14ac:dyDescent="0.25">
      <c r="A1041" s="12">
        <v>41963</v>
      </c>
      <c r="B1041" s="14" t="s">
        <v>1056</v>
      </c>
      <c r="C1041" s="14"/>
      <c r="D1041" s="14"/>
      <c r="E1041" s="1">
        <v>43</v>
      </c>
      <c r="F1041" s="1">
        <f t="shared" si="32"/>
        <v>36.75</v>
      </c>
      <c r="G1041" s="1">
        <v>47</v>
      </c>
      <c r="H1041" s="1">
        <f t="shared" si="33"/>
        <v>42.5</v>
      </c>
      <c r="I1041" s="1">
        <v>63</v>
      </c>
      <c r="J1041" s="1">
        <f t="shared" si="34"/>
        <v>60.75</v>
      </c>
      <c r="M1041" s="1">
        <v>14</v>
      </c>
      <c r="P1041" s="2" t="s">
        <v>551</v>
      </c>
      <c r="Q1041" s="2" t="s">
        <v>551</v>
      </c>
      <c r="R1041" s="2" t="s">
        <v>551</v>
      </c>
      <c r="S1041" s="1">
        <v>47</v>
      </c>
    </row>
    <row r="1042" spans="1:19" x14ac:dyDescent="0.25">
      <c r="A1042" s="12">
        <v>41970</v>
      </c>
      <c r="B1042" s="14" t="s">
        <v>1057</v>
      </c>
      <c r="C1042" s="14"/>
      <c r="D1042" s="14"/>
      <c r="E1042" s="1">
        <v>39</v>
      </c>
      <c r="F1042" s="1">
        <f t="shared" si="32"/>
        <v>34.25</v>
      </c>
      <c r="G1042" s="1">
        <v>51</v>
      </c>
      <c r="H1042" s="1">
        <f t="shared" si="33"/>
        <v>41</v>
      </c>
      <c r="I1042" s="1">
        <v>60</v>
      </c>
      <c r="J1042" s="1">
        <f t="shared" si="34"/>
        <v>63.5</v>
      </c>
      <c r="M1042" s="2" t="s">
        <v>551</v>
      </c>
      <c r="P1042" s="2" t="s">
        <v>551</v>
      </c>
      <c r="Q1042" s="2" t="s">
        <v>551</v>
      </c>
      <c r="R1042" s="2" t="s">
        <v>551</v>
      </c>
      <c r="S1042" s="1">
        <v>48</v>
      </c>
    </row>
    <row r="1043" spans="1:19" x14ac:dyDescent="0.25">
      <c r="A1043" s="12">
        <v>41977</v>
      </c>
      <c r="B1043" s="14" t="s">
        <v>1058</v>
      </c>
      <c r="C1043" s="14"/>
      <c r="D1043" s="14"/>
      <c r="E1043" s="1">
        <v>38</v>
      </c>
      <c r="F1043" s="1">
        <f t="shared" ref="F1043:F1106" si="35">AVERAGE(E991,E939,E887,E835)</f>
        <v>38.5</v>
      </c>
      <c r="G1043" s="1">
        <v>49</v>
      </c>
      <c r="H1043" s="1">
        <f t="shared" ref="H1043:H1106" si="36">AVERAGE(G991,G939,G887,G835)</f>
        <v>41.25</v>
      </c>
      <c r="I1043" s="1">
        <v>73</v>
      </c>
      <c r="J1043" s="1">
        <f t="shared" ref="J1043:J1106" si="37">AVERAGE(I991,I939,I887,I835)</f>
        <v>62.5</v>
      </c>
      <c r="M1043" s="1">
        <v>14</v>
      </c>
      <c r="P1043" s="2" t="s">
        <v>551</v>
      </c>
      <c r="Q1043" s="2" t="s">
        <v>551</v>
      </c>
      <c r="R1043" s="2" t="s">
        <v>551</v>
      </c>
      <c r="S1043" s="1">
        <v>49</v>
      </c>
    </row>
    <row r="1044" spans="1:19" x14ac:dyDescent="0.25">
      <c r="A1044" s="12">
        <v>41984</v>
      </c>
      <c r="B1044" s="14" t="s">
        <v>1059</v>
      </c>
      <c r="C1044" s="14"/>
      <c r="D1044" s="14"/>
      <c r="E1044" s="1">
        <v>28</v>
      </c>
      <c r="F1044" s="1">
        <f t="shared" si="35"/>
        <v>41</v>
      </c>
      <c r="G1044" s="1">
        <v>42</v>
      </c>
      <c r="H1044" s="1">
        <f t="shared" si="36"/>
        <v>41.75</v>
      </c>
      <c r="I1044" s="1">
        <v>88</v>
      </c>
      <c r="J1044" s="1">
        <f t="shared" si="37"/>
        <v>51</v>
      </c>
      <c r="M1044" s="1">
        <v>16</v>
      </c>
      <c r="P1044" s="2" t="s">
        <v>551</v>
      </c>
      <c r="Q1044" s="2" t="s">
        <v>551</v>
      </c>
      <c r="R1044" s="2" t="s">
        <v>551</v>
      </c>
      <c r="S1044" s="1">
        <v>50</v>
      </c>
    </row>
    <row r="1045" spans="1:19" x14ac:dyDescent="0.25">
      <c r="A1045" s="12">
        <v>41991</v>
      </c>
      <c r="B1045" s="14" t="s">
        <v>1060</v>
      </c>
      <c r="C1045" s="14"/>
      <c r="D1045" s="14"/>
      <c r="E1045" s="1">
        <v>33</v>
      </c>
      <c r="F1045" s="1">
        <f t="shared" si="35"/>
        <v>37.75</v>
      </c>
      <c r="G1045" s="1">
        <v>50</v>
      </c>
      <c r="H1045" s="1">
        <f t="shared" si="36"/>
        <v>37.25</v>
      </c>
      <c r="I1045" s="1">
        <v>76</v>
      </c>
      <c r="J1045" s="1">
        <f t="shared" si="37"/>
        <v>51.25</v>
      </c>
      <c r="M1045" s="1">
        <v>16</v>
      </c>
      <c r="P1045" s="2" t="s">
        <v>551</v>
      </c>
      <c r="Q1045" s="2" t="s">
        <v>551</v>
      </c>
      <c r="R1045" s="2" t="s">
        <v>551</v>
      </c>
      <c r="S1045" s="1">
        <v>51</v>
      </c>
    </row>
    <row r="1046" spans="1:19" x14ac:dyDescent="0.25">
      <c r="A1046" s="12">
        <v>41998</v>
      </c>
      <c r="B1046" s="14" t="s">
        <v>1061</v>
      </c>
      <c r="C1046" s="14"/>
      <c r="D1046" s="14"/>
      <c r="E1046" s="1">
        <v>40</v>
      </c>
      <c r="F1046" s="1">
        <f t="shared" si="35"/>
        <v>32.75</v>
      </c>
      <c r="G1046" s="1">
        <v>41</v>
      </c>
      <c r="H1046" s="1">
        <f t="shared" si="36"/>
        <v>32.75</v>
      </c>
      <c r="I1046" s="1">
        <v>50</v>
      </c>
      <c r="J1046" s="1">
        <f t="shared" si="37"/>
        <v>59.75</v>
      </c>
      <c r="M1046" s="1">
        <v>14</v>
      </c>
      <c r="P1046" s="2" t="s">
        <v>551</v>
      </c>
      <c r="Q1046" s="2" t="s">
        <v>551</v>
      </c>
      <c r="R1046" s="2" t="s">
        <v>551</v>
      </c>
      <c r="S1046" s="1">
        <v>52</v>
      </c>
    </row>
    <row r="1047" spans="1:19" x14ac:dyDescent="0.25">
      <c r="A1047" s="12">
        <v>42005</v>
      </c>
      <c r="B1047" s="14" t="s">
        <v>1062</v>
      </c>
      <c r="C1047" s="14"/>
      <c r="D1047" s="14"/>
      <c r="E1047" s="1">
        <v>31</v>
      </c>
      <c r="F1047" s="1">
        <f t="shared" si="35"/>
        <v>37.5</v>
      </c>
      <c r="G1047" s="1">
        <v>41</v>
      </c>
      <c r="H1047" s="1">
        <f t="shared" si="36"/>
        <v>36.75</v>
      </c>
      <c r="I1047" s="1">
        <v>69</v>
      </c>
      <c r="J1047" s="1">
        <f t="shared" si="37"/>
        <v>65.75</v>
      </c>
      <c r="M1047" s="1">
        <v>12</v>
      </c>
      <c r="P1047" s="2" t="s">
        <v>551</v>
      </c>
      <c r="Q1047" s="2" t="s">
        <v>551</v>
      </c>
      <c r="R1047" s="2" t="s">
        <v>551</v>
      </c>
      <c r="S1047" s="1">
        <v>1</v>
      </c>
    </row>
    <row r="1048" spans="1:19" x14ac:dyDescent="0.25">
      <c r="A1048" s="12">
        <v>42012</v>
      </c>
      <c r="B1048" s="14" t="s">
        <v>1063</v>
      </c>
      <c r="C1048" s="14"/>
      <c r="D1048" s="14"/>
      <c r="E1048" s="1">
        <v>41</v>
      </c>
      <c r="F1048" s="1">
        <f t="shared" si="35"/>
        <v>32</v>
      </c>
      <c r="G1048" s="1">
        <v>39</v>
      </c>
      <c r="H1048" s="1">
        <f t="shared" si="36"/>
        <v>41</v>
      </c>
      <c r="I1048" s="1">
        <v>63</v>
      </c>
      <c r="J1048" s="1">
        <f t="shared" si="37"/>
        <v>70.5</v>
      </c>
      <c r="M1048" s="1">
        <v>15</v>
      </c>
      <c r="P1048" s="2" t="s">
        <v>551</v>
      </c>
      <c r="Q1048" s="2" t="s">
        <v>551</v>
      </c>
      <c r="R1048" s="2" t="s">
        <v>551</v>
      </c>
      <c r="S1048" s="1">
        <v>2</v>
      </c>
    </row>
    <row r="1049" spans="1:19" x14ac:dyDescent="0.25">
      <c r="A1049" s="12">
        <v>42019</v>
      </c>
      <c r="B1049" s="14" t="s">
        <v>1064</v>
      </c>
      <c r="C1049" s="14"/>
      <c r="D1049" s="14"/>
      <c r="E1049" s="1">
        <v>37</v>
      </c>
      <c r="F1049" s="1">
        <f t="shared" si="35"/>
        <v>44.5</v>
      </c>
      <c r="G1049" s="1">
        <v>42</v>
      </c>
      <c r="H1049" s="1">
        <f t="shared" si="36"/>
        <v>40.25</v>
      </c>
      <c r="I1049" s="1">
        <v>65</v>
      </c>
      <c r="J1049" s="1">
        <f t="shared" si="37"/>
        <v>68.5</v>
      </c>
      <c r="M1049" s="1">
        <v>13</v>
      </c>
      <c r="P1049" s="2" t="s">
        <v>551</v>
      </c>
      <c r="Q1049" s="2" t="s">
        <v>551</v>
      </c>
      <c r="R1049" s="2" t="s">
        <v>551</v>
      </c>
      <c r="S1049" s="1">
        <v>3</v>
      </c>
    </row>
    <row r="1050" spans="1:19" x14ac:dyDescent="0.25">
      <c r="A1050" s="12">
        <v>42026</v>
      </c>
      <c r="B1050" s="14" t="s">
        <v>1065</v>
      </c>
      <c r="C1050" s="14"/>
      <c r="D1050" s="14"/>
      <c r="E1050" s="1">
        <v>43</v>
      </c>
      <c r="F1050" s="1">
        <f t="shared" si="35"/>
        <v>47.25</v>
      </c>
      <c r="G1050" s="1">
        <v>43</v>
      </c>
      <c r="H1050" s="1">
        <f t="shared" si="36"/>
        <v>45.25</v>
      </c>
      <c r="I1050" s="1">
        <v>67</v>
      </c>
      <c r="J1050" s="1">
        <f t="shared" si="37"/>
        <v>67.25</v>
      </c>
      <c r="M1050" s="1">
        <v>17</v>
      </c>
      <c r="P1050" s="2" t="s">
        <v>551</v>
      </c>
      <c r="Q1050" s="2" t="s">
        <v>551</v>
      </c>
      <c r="R1050" s="2" t="s">
        <v>551</v>
      </c>
      <c r="S1050" s="1">
        <v>4</v>
      </c>
    </row>
    <row r="1051" spans="1:19" x14ac:dyDescent="0.25">
      <c r="A1051" s="12">
        <v>42033</v>
      </c>
      <c r="B1051" s="14" t="s">
        <v>1066</v>
      </c>
      <c r="C1051" s="14"/>
      <c r="D1051" s="14"/>
      <c r="E1051" s="1">
        <v>41</v>
      </c>
      <c r="F1051" s="1">
        <f t="shared" si="35"/>
        <v>49.25</v>
      </c>
      <c r="G1051" s="1">
        <v>41</v>
      </c>
      <c r="H1051" s="1">
        <f t="shared" si="36"/>
        <v>39.75</v>
      </c>
      <c r="I1051" s="1">
        <v>74</v>
      </c>
      <c r="J1051" s="1">
        <f t="shared" si="37"/>
        <v>65.25</v>
      </c>
      <c r="M1051" s="1">
        <v>17</v>
      </c>
      <c r="P1051" s="2" t="s">
        <v>551</v>
      </c>
      <c r="Q1051" s="2" t="s">
        <v>551</v>
      </c>
      <c r="R1051" s="2" t="s">
        <v>551</v>
      </c>
      <c r="S1051" s="1">
        <v>5</v>
      </c>
    </row>
    <row r="1052" spans="1:19" x14ac:dyDescent="0.25">
      <c r="A1052" s="12">
        <v>42040</v>
      </c>
      <c r="B1052" s="14" t="s">
        <v>1067</v>
      </c>
      <c r="C1052" s="14"/>
      <c r="D1052" s="14"/>
      <c r="E1052" s="1">
        <v>50</v>
      </c>
      <c r="F1052" s="1">
        <f t="shared" si="35"/>
        <v>50</v>
      </c>
      <c r="G1052" s="1">
        <v>44</v>
      </c>
      <c r="H1052" s="1">
        <f t="shared" si="36"/>
        <v>41</v>
      </c>
      <c r="I1052" s="1">
        <v>59</v>
      </c>
      <c r="J1052" s="1">
        <f t="shared" si="37"/>
        <v>66.5</v>
      </c>
      <c r="M1052" s="1">
        <v>20</v>
      </c>
      <c r="P1052" s="2" t="s">
        <v>551</v>
      </c>
      <c r="Q1052" s="2" t="s">
        <v>551</v>
      </c>
      <c r="R1052" s="2" t="s">
        <v>551</v>
      </c>
      <c r="S1052" s="1">
        <v>6</v>
      </c>
    </row>
    <row r="1053" spans="1:19" x14ac:dyDescent="0.25">
      <c r="A1053" s="12">
        <v>42047</v>
      </c>
      <c r="B1053" s="14" t="s">
        <v>1068</v>
      </c>
      <c r="C1053" s="14"/>
      <c r="D1053" s="14"/>
      <c r="E1053" s="1">
        <v>38</v>
      </c>
      <c r="F1053" s="1">
        <f t="shared" si="35"/>
        <v>52.75</v>
      </c>
      <c r="G1053" s="1">
        <v>42</v>
      </c>
      <c r="H1053" s="1">
        <f t="shared" si="36"/>
        <v>43</v>
      </c>
      <c r="I1053" s="1">
        <v>57</v>
      </c>
      <c r="J1053" s="1">
        <f t="shared" si="37"/>
        <v>58.25</v>
      </c>
      <c r="M1053" s="1">
        <v>26</v>
      </c>
      <c r="P1053" s="2" t="s">
        <v>551</v>
      </c>
      <c r="Q1053" s="2" t="s">
        <v>551</v>
      </c>
      <c r="R1053" s="2" t="s">
        <v>551</v>
      </c>
      <c r="S1053" s="1">
        <v>7</v>
      </c>
    </row>
    <row r="1054" spans="1:19" x14ac:dyDescent="0.25">
      <c r="A1054" s="12">
        <v>42054</v>
      </c>
      <c r="B1054" s="14" t="s">
        <v>1069</v>
      </c>
      <c r="C1054" s="14"/>
      <c r="D1054" s="14"/>
      <c r="E1054" s="1">
        <v>47</v>
      </c>
      <c r="F1054" s="1">
        <f t="shared" si="35"/>
        <v>48</v>
      </c>
      <c r="G1054" s="1">
        <v>39</v>
      </c>
      <c r="H1054" s="1">
        <f t="shared" si="36"/>
        <v>39.25</v>
      </c>
      <c r="I1054" s="1">
        <v>42</v>
      </c>
      <c r="J1054" s="1">
        <f t="shared" si="37"/>
        <v>58.75</v>
      </c>
      <c r="M1054" s="1">
        <v>19</v>
      </c>
      <c r="P1054" s="2" t="s">
        <v>551</v>
      </c>
      <c r="Q1054" s="2" t="s">
        <v>551</v>
      </c>
      <c r="R1054" s="2" t="s">
        <v>551</v>
      </c>
      <c r="S1054" s="1">
        <v>8</v>
      </c>
    </row>
    <row r="1055" spans="1:19" x14ac:dyDescent="0.25">
      <c r="A1055" s="12">
        <v>42061</v>
      </c>
      <c r="B1055" s="14" t="s">
        <v>1070</v>
      </c>
      <c r="C1055" s="14"/>
      <c r="D1055" s="14"/>
      <c r="E1055" s="1">
        <v>41</v>
      </c>
      <c r="F1055" s="1">
        <f t="shared" si="35"/>
        <v>52</v>
      </c>
      <c r="G1055" s="1">
        <v>37</v>
      </c>
      <c r="H1055" s="1">
        <f t="shared" si="36"/>
        <v>40.5</v>
      </c>
      <c r="I1055" s="1">
        <v>62</v>
      </c>
      <c r="J1055" s="1">
        <f t="shared" si="37"/>
        <v>55.25</v>
      </c>
      <c r="M1055" s="1">
        <v>18</v>
      </c>
      <c r="P1055" s="2" t="s">
        <v>551</v>
      </c>
      <c r="Q1055" s="2" t="s">
        <v>551</v>
      </c>
      <c r="R1055" s="2" t="s">
        <v>551</v>
      </c>
      <c r="S1055" s="1">
        <v>9</v>
      </c>
    </row>
    <row r="1056" spans="1:19" x14ac:dyDescent="0.25">
      <c r="A1056" s="12">
        <v>42068</v>
      </c>
      <c r="B1056" s="14" t="s">
        <v>1071</v>
      </c>
      <c r="C1056" s="14"/>
      <c r="D1056" s="14"/>
      <c r="E1056" s="1">
        <v>33</v>
      </c>
      <c r="F1056" s="1">
        <f t="shared" si="35"/>
        <v>49.5</v>
      </c>
      <c r="G1056" s="1">
        <v>41</v>
      </c>
      <c r="H1056" s="1">
        <f t="shared" si="36"/>
        <v>39.75</v>
      </c>
      <c r="I1056" s="1">
        <v>58</v>
      </c>
      <c r="J1056" s="1">
        <f t="shared" si="37"/>
        <v>54.25</v>
      </c>
      <c r="M1056" s="1">
        <v>20</v>
      </c>
      <c r="P1056" s="2" t="s">
        <v>551</v>
      </c>
      <c r="Q1056" s="2" t="s">
        <v>551</v>
      </c>
      <c r="R1056" s="2" t="s">
        <v>551</v>
      </c>
      <c r="S1056" s="1">
        <v>10</v>
      </c>
    </row>
    <row r="1057" spans="1:19" x14ac:dyDescent="0.25">
      <c r="A1057" s="12">
        <v>42075</v>
      </c>
      <c r="B1057" s="14" t="s">
        <v>1072</v>
      </c>
      <c r="C1057" s="14"/>
      <c r="D1057" s="14"/>
      <c r="E1057" s="1">
        <v>39</v>
      </c>
      <c r="F1057" s="1">
        <f t="shared" si="35"/>
        <v>45.75</v>
      </c>
      <c r="G1057" s="1">
        <v>33</v>
      </c>
      <c r="H1057" s="1">
        <f t="shared" si="36"/>
        <v>39.25</v>
      </c>
      <c r="I1057" s="1">
        <v>54</v>
      </c>
      <c r="J1057" s="1">
        <f t="shared" si="37"/>
        <v>48.25</v>
      </c>
      <c r="M1057" s="1">
        <v>14</v>
      </c>
      <c r="P1057" s="2" t="s">
        <v>551</v>
      </c>
      <c r="Q1057" s="2" t="s">
        <v>551</v>
      </c>
      <c r="R1057" s="2" t="s">
        <v>551</v>
      </c>
      <c r="S1057" s="1">
        <v>11</v>
      </c>
    </row>
    <row r="1058" spans="1:19" x14ac:dyDescent="0.25">
      <c r="A1058" s="12">
        <v>42082</v>
      </c>
      <c r="B1058" s="14" t="s">
        <v>1073</v>
      </c>
      <c r="C1058" s="14"/>
      <c r="D1058" s="14"/>
      <c r="E1058" s="1">
        <v>26</v>
      </c>
      <c r="F1058" s="1">
        <f t="shared" si="35"/>
        <v>44</v>
      </c>
      <c r="G1058" s="1">
        <v>37</v>
      </c>
      <c r="H1058" s="1">
        <f t="shared" si="36"/>
        <v>38</v>
      </c>
      <c r="I1058" s="1">
        <v>54</v>
      </c>
      <c r="J1058" s="1">
        <f t="shared" si="37"/>
        <v>48.25</v>
      </c>
      <c r="M1058" s="1">
        <v>10</v>
      </c>
      <c r="P1058" s="2" t="s">
        <v>551</v>
      </c>
      <c r="Q1058" s="2" t="s">
        <v>551</v>
      </c>
      <c r="R1058" s="2" t="s">
        <v>551</v>
      </c>
      <c r="S1058" s="1">
        <v>12</v>
      </c>
    </row>
    <row r="1059" spans="1:19" x14ac:dyDescent="0.25">
      <c r="A1059" s="12">
        <v>42089</v>
      </c>
      <c r="B1059" s="14" t="s">
        <v>1074</v>
      </c>
      <c r="C1059" s="14"/>
      <c r="D1059" s="14"/>
      <c r="E1059" s="1">
        <v>41</v>
      </c>
      <c r="F1059" s="1">
        <f t="shared" si="35"/>
        <v>35</v>
      </c>
      <c r="G1059" s="1">
        <v>30</v>
      </c>
      <c r="H1059" s="1">
        <f t="shared" si="36"/>
        <v>39.25</v>
      </c>
      <c r="I1059" s="1">
        <v>60</v>
      </c>
      <c r="J1059" s="1">
        <f t="shared" si="37"/>
        <v>49.5</v>
      </c>
      <c r="M1059" s="1">
        <v>11</v>
      </c>
      <c r="P1059" s="2" t="s">
        <v>551</v>
      </c>
      <c r="Q1059" s="2" t="s">
        <v>551</v>
      </c>
      <c r="R1059" s="2" t="s">
        <v>551</v>
      </c>
      <c r="S1059" s="1">
        <v>13</v>
      </c>
    </row>
    <row r="1060" spans="1:19" x14ac:dyDescent="0.25">
      <c r="A1060" s="12">
        <v>42096</v>
      </c>
      <c r="B1060" s="14" t="s">
        <v>1075</v>
      </c>
      <c r="C1060" s="14"/>
      <c r="D1060" s="14"/>
      <c r="E1060" s="1">
        <v>47</v>
      </c>
      <c r="F1060" s="1">
        <f t="shared" si="35"/>
        <v>36.75</v>
      </c>
      <c r="G1060" s="1">
        <v>32</v>
      </c>
      <c r="H1060" s="1">
        <f t="shared" si="36"/>
        <v>35.25</v>
      </c>
      <c r="I1060" s="1">
        <v>53</v>
      </c>
      <c r="J1060" s="1">
        <f t="shared" si="37"/>
        <v>45.75</v>
      </c>
      <c r="M1060" s="1">
        <v>14</v>
      </c>
      <c r="P1060" s="2" t="s">
        <v>551</v>
      </c>
      <c r="Q1060" s="2" t="s">
        <v>551</v>
      </c>
      <c r="R1060" s="2" t="s">
        <v>551</v>
      </c>
      <c r="S1060" s="1">
        <v>14</v>
      </c>
    </row>
    <row r="1061" spans="1:19" x14ac:dyDescent="0.25">
      <c r="A1061" s="12">
        <v>42103</v>
      </c>
      <c r="B1061" s="14" t="s">
        <v>1076</v>
      </c>
      <c r="C1061" s="14"/>
      <c r="D1061" s="14"/>
      <c r="E1061" s="1">
        <v>48</v>
      </c>
      <c r="F1061" s="1">
        <f t="shared" si="35"/>
        <v>35</v>
      </c>
      <c r="G1061" s="1">
        <v>34</v>
      </c>
      <c r="H1061" s="1">
        <f t="shared" si="36"/>
        <v>37.5</v>
      </c>
      <c r="I1061" s="1">
        <v>55</v>
      </c>
      <c r="J1061" s="1">
        <f t="shared" si="37"/>
        <v>38.5</v>
      </c>
      <c r="M1061" s="1">
        <v>14</v>
      </c>
      <c r="P1061" s="2" t="s">
        <v>551</v>
      </c>
      <c r="Q1061" s="2" t="s">
        <v>551</v>
      </c>
      <c r="R1061" s="2" t="s">
        <v>551</v>
      </c>
      <c r="S1061" s="1">
        <v>15</v>
      </c>
    </row>
    <row r="1062" spans="1:19" x14ac:dyDescent="0.25">
      <c r="A1062" s="12">
        <v>42110</v>
      </c>
      <c r="B1062" s="14" t="s">
        <v>1077</v>
      </c>
      <c r="C1062" s="14"/>
      <c r="D1062" s="14"/>
      <c r="E1062" s="1">
        <v>48</v>
      </c>
      <c r="F1062" s="1">
        <f t="shared" si="35"/>
        <v>28.75</v>
      </c>
      <c r="G1062" s="1">
        <v>29</v>
      </c>
      <c r="H1062" s="1">
        <f t="shared" si="36"/>
        <v>34.25</v>
      </c>
      <c r="I1062" s="1">
        <v>58</v>
      </c>
      <c r="J1062" s="1">
        <f t="shared" si="37"/>
        <v>36.75</v>
      </c>
      <c r="M1062" s="1">
        <v>10</v>
      </c>
      <c r="P1062" s="2" t="s">
        <v>551</v>
      </c>
      <c r="Q1062" s="2" t="s">
        <v>551</v>
      </c>
      <c r="R1062" s="2" t="s">
        <v>551</v>
      </c>
      <c r="S1062" s="1">
        <v>16</v>
      </c>
    </row>
    <row r="1063" spans="1:19" x14ac:dyDescent="0.25">
      <c r="A1063" s="12">
        <v>42117</v>
      </c>
      <c r="B1063" s="14" t="s">
        <v>1078</v>
      </c>
      <c r="C1063" s="14"/>
      <c r="D1063" s="14"/>
      <c r="E1063" s="1">
        <v>48</v>
      </c>
      <c r="F1063" s="1">
        <f t="shared" si="35"/>
        <v>26</v>
      </c>
      <c r="G1063" s="1">
        <v>29</v>
      </c>
      <c r="H1063" s="1">
        <f t="shared" si="36"/>
        <v>31</v>
      </c>
      <c r="I1063" s="1">
        <v>49</v>
      </c>
      <c r="J1063" s="1">
        <f t="shared" si="37"/>
        <v>40.5</v>
      </c>
      <c r="M1063" s="1">
        <v>7</v>
      </c>
      <c r="P1063" s="2" t="s">
        <v>551</v>
      </c>
      <c r="Q1063" s="2" t="s">
        <v>551</v>
      </c>
      <c r="R1063" s="2" t="s">
        <v>551</v>
      </c>
      <c r="S1063" s="1">
        <v>17</v>
      </c>
    </row>
    <row r="1064" spans="1:19" x14ac:dyDescent="0.25">
      <c r="A1064" s="12">
        <v>42124</v>
      </c>
      <c r="B1064" s="14" t="s">
        <v>1079</v>
      </c>
      <c r="C1064" s="14"/>
      <c r="D1064" s="14"/>
      <c r="E1064" s="1">
        <v>52</v>
      </c>
      <c r="F1064" s="1">
        <f t="shared" si="35"/>
        <v>28.5</v>
      </c>
      <c r="G1064" s="1">
        <v>35</v>
      </c>
      <c r="H1064" s="1">
        <f t="shared" si="36"/>
        <v>29</v>
      </c>
      <c r="I1064" s="1">
        <v>56</v>
      </c>
      <c r="J1064" s="1">
        <f t="shared" si="37"/>
        <v>41</v>
      </c>
      <c r="M1064" s="1">
        <v>3</v>
      </c>
      <c r="P1064" s="2" t="s">
        <v>551</v>
      </c>
      <c r="Q1064" s="2" t="s">
        <v>551</v>
      </c>
      <c r="R1064" s="2" t="s">
        <v>551</v>
      </c>
      <c r="S1064" s="1">
        <v>18</v>
      </c>
    </row>
    <row r="1065" spans="1:19" x14ac:dyDescent="0.25">
      <c r="A1065" s="12">
        <v>42131</v>
      </c>
      <c r="B1065" s="14" t="s">
        <v>1080</v>
      </c>
      <c r="C1065" s="14"/>
      <c r="D1065" s="14"/>
      <c r="E1065" s="1">
        <v>46</v>
      </c>
      <c r="F1065" s="1">
        <f t="shared" si="35"/>
        <v>26.5</v>
      </c>
      <c r="G1065" s="1">
        <v>40</v>
      </c>
      <c r="H1065" s="1">
        <f t="shared" si="36"/>
        <v>30.25</v>
      </c>
      <c r="I1065" s="1">
        <v>49</v>
      </c>
      <c r="J1065" s="1">
        <f t="shared" si="37"/>
        <v>39.75</v>
      </c>
      <c r="M1065" s="1">
        <v>7</v>
      </c>
      <c r="P1065" s="2" t="s">
        <v>551</v>
      </c>
      <c r="Q1065" s="2" t="s">
        <v>551</v>
      </c>
      <c r="R1065" s="2" t="s">
        <v>551</v>
      </c>
      <c r="S1065" s="1">
        <v>19</v>
      </c>
    </row>
    <row r="1066" spans="1:19" x14ac:dyDescent="0.25">
      <c r="A1066" s="12">
        <v>42138</v>
      </c>
      <c r="B1066" s="14" t="s">
        <v>1081</v>
      </c>
      <c r="C1066" s="14"/>
      <c r="D1066" s="14"/>
      <c r="E1066" s="1">
        <v>45</v>
      </c>
      <c r="F1066" s="1">
        <f t="shared" si="35"/>
        <v>30.5</v>
      </c>
      <c r="G1066" s="1">
        <v>35</v>
      </c>
      <c r="H1066" s="1">
        <f t="shared" si="36"/>
        <v>27.75</v>
      </c>
      <c r="I1066" s="1">
        <v>45</v>
      </c>
      <c r="J1066" s="1">
        <f t="shared" si="37"/>
        <v>42</v>
      </c>
      <c r="M1066" s="1">
        <v>4</v>
      </c>
      <c r="P1066" s="2" t="s">
        <v>551</v>
      </c>
      <c r="Q1066" s="2" t="s">
        <v>551</v>
      </c>
      <c r="R1066" s="2" t="s">
        <v>551</v>
      </c>
      <c r="S1066" s="1">
        <v>20</v>
      </c>
    </row>
    <row r="1067" spans="1:19" x14ac:dyDescent="0.25">
      <c r="A1067" s="12">
        <v>42145</v>
      </c>
      <c r="B1067" s="14" t="s">
        <v>1082</v>
      </c>
      <c r="C1067" s="14"/>
      <c r="D1067" s="14"/>
      <c r="E1067" s="1">
        <v>42</v>
      </c>
      <c r="F1067" s="1">
        <f t="shared" si="35"/>
        <v>27.75</v>
      </c>
      <c r="G1067" s="1">
        <v>35</v>
      </c>
      <c r="H1067" s="1">
        <f t="shared" si="36"/>
        <v>29.75</v>
      </c>
      <c r="I1067" s="1">
        <v>39</v>
      </c>
      <c r="J1067" s="1">
        <f t="shared" si="37"/>
        <v>40.5</v>
      </c>
      <c r="M1067" s="1">
        <v>6</v>
      </c>
      <c r="P1067" s="2" t="s">
        <v>551</v>
      </c>
      <c r="Q1067" s="2" t="s">
        <v>551</v>
      </c>
      <c r="R1067" s="2" t="s">
        <v>551</v>
      </c>
      <c r="S1067" s="1">
        <v>21</v>
      </c>
    </row>
    <row r="1068" spans="1:19" x14ac:dyDescent="0.25">
      <c r="A1068" s="12">
        <v>42152</v>
      </c>
      <c r="B1068" s="14" t="s">
        <v>1083</v>
      </c>
      <c r="C1068" s="14"/>
      <c r="D1068" s="14"/>
      <c r="E1068" s="1">
        <v>33</v>
      </c>
      <c r="F1068" s="1">
        <f t="shared" si="35"/>
        <v>25</v>
      </c>
      <c r="G1068" s="1">
        <v>32</v>
      </c>
      <c r="H1068" s="1">
        <f t="shared" si="36"/>
        <v>29.75</v>
      </c>
      <c r="I1068" s="1">
        <v>36</v>
      </c>
      <c r="J1068" s="1">
        <f t="shared" si="37"/>
        <v>42.25</v>
      </c>
      <c r="M1068" s="1">
        <v>7</v>
      </c>
      <c r="P1068" s="2" t="s">
        <v>551</v>
      </c>
      <c r="Q1068" s="2" t="s">
        <v>551</v>
      </c>
      <c r="R1068" s="2" t="s">
        <v>551</v>
      </c>
      <c r="S1068" s="1">
        <v>22</v>
      </c>
    </row>
    <row r="1069" spans="1:19" x14ac:dyDescent="0.25">
      <c r="A1069" s="12">
        <v>42159</v>
      </c>
      <c r="B1069" s="14" t="s">
        <v>1084</v>
      </c>
      <c r="C1069" s="14"/>
      <c r="D1069" s="14"/>
      <c r="E1069" s="1">
        <v>36</v>
      </c>
      <c r="F1069" s="1">
        <f t="shared" si="35"/>
        <v>22.75</v>
      </c>
      <c r="G1069" s="1">
        <v>28</v>
      </c>
      <c r="H1069" s="1">
        <f t="shared" si="36"/>
        <v>29.25</v>
      </c>
      <c r="I1069" s="1">
        <v>43</v>
      </c>
      <c r="J1069" s="1">
        <f t="shared" si="37"/>
        <v>37.25</v>
      </c>
      <c r="M1069" s="1">
        <v>8</v>
      </c>
      <c r="P1069" s="2" t="s">
        <v>551</v>
      </c>
      <c r="Q1069" s="2" t="s">
        <v>551</v>
      </c>
      <c r="R1069" s="2" t="s">
        <v>551</v>
      </c>
      <c r="S1069" s="1">
        <v>23</v>
      </c>
    </row>
    <row r="1070" spans="1:19" x14ac:dyDescent="0.25">
      <c r="A1070" s="12">
        <v>42166</v>
      </c>
      <c r="B1070" s="14" t="s">
        <v>1085</v>
      </c>
      <c r="C1070" s="14"/>
      <c r="D1070" s="14"/>
      <c r="E1070" s="1">
        <v>41</v>
      </c>
      <c r="F1070" s="1">
        <f t="shared" si="35"/>
        <v>25.25</v>
      </c>
      <c r="G1070" s="1">
        <v>29</v>
      </c>
      <c r="H1070" s="1">
        <f t="shared" si="36"/>
        <v>27</v>
      </c>
      <c r="I1070" s="1">
        <v>51</v>
      </c>
      <c r="J1070" s="1">
        <f t="shared" si="37"/>
        <v>34</v>
      </c>
      <c r="M1070" s="1">
        <v>12</v>
      </c>
      <c r="P1070" s="2" t="s">
        <v>551</v>
      </c>
      <c r="Q1070" s="2" t="s">
        <v>551</v>
      </c>
      <c r="R1070" s="2" t="s">
        <v>551</v>
      </c>
      <c r="S1070" s="1">
        <v>24</v>
      </c>
    </row>
    <row r="1071" spans="1:19" x14ac:dyDescent="0.25">
      <c r="A1071" s="12">
        <v>42173</v>
      </c>
      <c r="B1071" s="14" t="s">
        <v>1086</v>
      </c>
      <c r="C1071" s="14"/>
      <c r="D1071" s="14"/>
      <c r="E1071" s="1">
        <v>33</v>
      </c>
      <c r="F1071" s="1">
        <f t="shared" si="35"/>
        <v>18.5</v>
      </c>
      <c r="G1071" s="1">
        <v>33</v>
      </c>
      <c r="H1071" s="1">
        <f t="shared" si="36"/>
        <v>30.5</v>
      </c>
      <c r="I1071" s="1">
        <v>47</v>
      </c>
      <c r="J1071" s="1">
        <f t="shared" si="37"/>
        <v>41.5</v>
      </c>
      <c r="M1071" s="1">
        <v>8</v>
      </c>
      <c r="P1071" s="2" t="s">
        <v>551</v>
      </c>
      <c r="Q1071" s="2" t="s">
        <v>551</v>
      </c>
      <c r="R1071" s="2" t="s">
        <v>551</v>
      </c>
      <c r="S1071" s="1">
        <v>25</v>
      </c>
    </row>
    <row r="1072" spans="1:19" x14ac:dyDescent="0.25">
      <c r="A1072" s="12">
        <v>42180</v>
      </c>
      <c r="B1072" s="14" t="s">
        <v>1087</v>
      </c>
      <c r="C1072" s="14"/>
      <c r="D1072" s="14"/>
      <c r="E1072" s="1">
        <v>39</v>
      </c>
      <c r="F1072" s="1">
        <f t="shared" si="35"/>
        <v>22</v>
      </c>
      <c r="G1072" s="1">
        <v>31</v>
      </c>
      <c r="H1072" s="1">
        <f t="shared" si="36"/>
        <v>28.5</v>
      </c>
      <c r="I1072" s="1">
        <v>40</v>
      </c>
      <c r="J1072" s="1">
        <f t="shared" si="37"/>
        <v>45</v>
      </c>
      <c r="M1072" s="1">
        <v>9</v>
      </c>
      <c r="P1072" s="2" t="s">
        <v>551</v>
      </c>
      <c r="Q1072" s="2" t="s">
        <v>551</v>
      </c>
      <c r="R1072" s="2" t="s">
        <v>551</v>
      </c>
      <c r="S1072" s="1">
        <v>26</v>
      </c>
    </row>
    <row r="1073" spans="1:19" x14ac:dyDescent="0.25">
      <c r="A1073" s="12">
        <v>42187</v>
      </c>
      <c r="B1073" s="14" t="s">
        <v>1088</v>
      </c>
      <c r="C1073" s="14"/>
      <c r="D1073" s="14"/>
      <c r="E1073" s="1">
        <v>34</v>
      </c>
      <c r="F1073" s="1">
        <f t="shared" si="35"/>
        <v>22.75</v>
      </c>
      <c r="G1073" s="1">
        <v>30</v>
      </c>
      <c r="H1073" s="1">
        <f t="shared" si="36"/>
        <v>32.25</v>
      </c>
      <c r="I1073" s="1">
        <v>43</v>
      </c>
      <c r="J1073" s="1">
        <f t="shared" si="37"/>
        <v>45.75</v>
      </c>
      <c r="M1073" s="1">
        <v>9</v>
      </c>
      <c r="P1073" s="2" t="s">
        <v>551</v>
      </c>
      <c r="Q1073" s="2" t="s">
        <v>551</v>
      </c>
      <c r="R1073" s="2" t="s">
        <v>551</v>
      </c>
      <c r="S1073" s="1">
        <v>27</v>
      </c>
    </row>
    <row r="1074" spans="1:19" x14ac:dyDescent="0.25">
      <c r="A1074" s="12">
        <v>42194</v>
      </c>
      <c r="B1074" s="14" t="s">
        <v>1089</v>
      </c>
      <c r="C1074" s="14"/>
      <c r="D1074" s="14"/>
      <c r="E1074" s="1">
        <v>25</v>
      </c>
      <c r="F1074" s="1">
        <f t="shared" si="35"/>
        <v>23.25</v>
      </c>
      <c r="G1074" s="1">
        <v>28</v>
      </c>
      <c r="H1074" s="1">
        <f t="shared" si="36"/>
        <v>28.5</v>
      </c>
      <c r="I1074" s="1">
        <v>50</v>
      </c>
      <c r="J1074" s="1">
        <f t="shared" si="37"/>
        <v>44</v>
      </c>
      <c r="M1074" s="1">
        <v>11</v>
      </c>
      <c r="P1074" s="2" t="s">
        <v>551</v>
      </c>
      <c r="Q1074" s="2" t="s">
        <v>551</v>
      </c>
      <c r="R1074" s="2" t="s">
        <v>551</v>
      </c>
      <c r="S1074" s="1">
        <v>28</v>
      </c>
    </row>
    <row r="1075" spans="1:19" x14ac:dyDescent="0.25">
      <c r="A1075" s="12">
        <v>42201</v>
      </c>
      <c r="B1075" s="14" t="s">
        <v>1090</v>
      </c>
      <c r="C1075" s="14"/>
      <c r="D1075" s="14"/>
      <c r="E1075" s="1">
        <v>37</v>
      </c>
      <c r="F1075" s="1">
        <f t="shared" si="35"/>
        <v>23.5</v>
      </c>
      <c r="G1075" s="1">
        <v>30</v>
      </c>
      <c r="H1075" s="1">
        <f t="shared" si="36"/>
        <v>29</v>
      </c>
      <c r="I1075" s="1">
        <v>50</v>
      </c>
      <c r="J1075" s="1">
        <f t="shared" si="37"/>
        <v>41.25</v>
      </c>
      <c r="M1075" s="1">
        <v>12</v>
      </c>
      <c r="P1075" s="2" t="s">
        <v>551</v>
      </c>
      <c r="Q1075" s="2" t="s">
        <v>551</v>
      </c>
      <c r="R1075" s="2" t="s">
        <v>551</v>
      </c>
      <c r="S1075" s="1">
        <v>29</v>
      </c>
    </row>
    <row r="1076" spans="1:19" x14ac:dyDescent="0.25">
      <c r="A1076" s="12">
        <v>42208</v>
      </c>
      <c r="B1076" s="14" t="s">
        <v>1091</v>
      </c>
      <c r="C1076" s="14"/>
      <c r="D1076" s="14"/>
      <c r="E1076" s="1">
        <v>48</v>
      </c>
      <c r="F1076" s="1">
        <f t="shared" si="35"/>
        <v>26.5</v>
      </c>
      <c r="G1076" s="1">
        <v>34</v>
      </c>
      <c r="H1076" s="1">
        <f t="shared" si="36"/>
        <v>28.25</v>
      </c>
      <c r="I1076" s="1">
        <v>55</v>
      </c>
      <c r="J1076" s="1">
        <f t="shared" si="37"/>
        <v>45</v>
      </c>
      <c r="M1076" s="1">
        <v>7</v>
      </c>
      <c r="P1076" s="2" t="s">
        <v>551</v>
      </c>
      <c r="Q1076" s="2" t="s">
        <v>551</v>
      </c>
      <c r="R1076" s="2" t="s">
        <v>551</v>
      </c>
      <c r="S1076" s="1">
        <v>30</v>
      </c>
    </row>
    <row r="1077" spans="1:19" x14ac:dyDescent="0.25">
      <c r="A1077" s="12">
        <v>42215</v>
      </c>
      <c r="B1077" s="14" t="s">
        <v>1092</v>
      </c>
      <c r="C1077" s="14"/>
      <c r="D1077" s="14"/>
      <c r="E1077" s="1">
        <v>49</v>
      </c>
      <c r="F1077" s="1">
        <f t="shared" si="35"/>
        <v>25</v>
      </c>
      <c r="G1077" s="1">
        <v>34</v>
      </c>
      <c r="H1077" s="1">
        <f t="shared" si="36"/>
        <v>33.25</v>
      </c>
      <c r="I1077" s="1">
        <v>48</v>
      </c>
      <c r="J1077" s="1">
        <f t="shared" si="37"/>
        <v>44.5</v>
      </c>
      <c r="M1077" s="1">
        <v>5</v>
      </c>
      <c r="P1077" s="2" t="s">
        <v>551</v>
      </c>
      <c r="Q1077" s="2" t="s">
        <v>551</v>
      </c>
      <c r="R1077" s="2" t="s">
        <v>551</v>
      </c>
      <c r="S1077" s="1">
        <v>31</v>
      </c>
    </row>
    <row r="1078" spans="1:19" x14ac:dyDescent="0.25">
      <c r="A1078" s="12">
        <v>42222</v>
      </c>
      <c r="B1078" s="14" t="s">
        <v>1093</v>
      </c>
      <c r="C1078" s="14"/>
      <c r="D1078" s="14"/>
      <c r="E1078" s="1">
        <v>36</v>
      </c>
      <c r="F1078" s="1">
        <f t="shared" si="35"/>
        <v>25.75</v>
      </c>
      <c r="G1078" s="1">
        <v>54</v>
      </c>
      <c r="H1078" s="1">
        <f t="shared" si="36"/>
        <v>30.25</v>
      </c>
      <c r="I1078" s="1">
        <v>80</v>
      </c>
      <c r="J1078" s="1">
        <f t="shared" si="37"/>
        <v>44</v>
      </c>
      <c r="M1078" s="1">
        <v>7</v>
      </c>
      <c r="P1078" s="2" t="s">
        <v>551</v>
      </c>
      <c r="Q1078" s="2" t="s">
        <v>551</v>
      </c>
      <c r="R1078" s="2" t="s">
        <v>551</v>
      </c>
      <c r="S1078" s="1">
        <v>32</v>
      </c>
    </row>
    <row r="1079" spans="1:19" x14ac:dyDescent="0.25">
      <c r="A1079" s="12">
        <v>42229</v>
      </c>
      <c r="B1079" s="14" t="s">
        <v>1094</v>
      </c>
      <c r="C1079" s="14"/>
      <c r="D1079" s="14"/>
      <c r="E1079" s="1">
        <v>40</v>
      </c>
      <c r="F1079" s="1">
        <f t="shared" si="35"/>
        <v>25.25</v>
      </c>
      <c r="G1079" s="1">
        <v>44</v>
      </c>
      <c r="H1079" s="1">
        <f t="shared" si="36"/>
        <v>30.75</v>
      </c>
      <c r="I1079" s="1">
        <v>61</v>
      </c>
      <c r="J1079" s="1">
        <f t="shared" si="37"/>
        <v>42.25</v>
      </c>
      <c r="M1079" s="1">
        <v>6</v>
      </c>
      <c r="P1079" s="2" t="s">
        <v>551</v>
      </c>
      <c r="Q1079" s="2" t="s">
        <v>551</v>
      </c>
      <c r="R1079" s="2" t="s">
        <v>551</v>
      </c>
      <c r="S1079" s="1">
        <v>33</v>
      </c>
    </row>
    <row r="1080" spans="1:19" x14ac:dyDescent="0.25">
      <c r="A1080" s="12">
        <v>42236</v>
      </c>
      <c r="B1080" s="14" t="s">
        <v>1095</v>
      </c>
      <c r="C1080" s="14"/>
      <c r="D1080" s="14"/>
      <c r="E1080" s="1">
        <v>37</v>
      </c>
      <c r="F1080" s="1">
        <f t="shared" si="35"/>
        <v>22.5</v>
      </c>
      <c r="G1080" s="1">
        <v>37</v>
      </c>
      <c r="H1080" s="1">
        <f t="shared" si="36"/>
        <v>30</v>
      </c>
      <c r="I1080" s="1">
        <v>46</v>
      </c>
      <c r="J1080" s="1">
        <f t="shared" si="37"/>
        <v>43.75</v>
      </c>
      <c r="M1080" s="1">
        <v>8</v>
      </c>
      <c r="P1080" s="2" t="s">
        <v>551</v>
      </c>
      <c r="Q1080" s="2" t="s">
        <v>551</v>
      </c>
      <c r="R1080" s="2" t="s">
        <v>551</v>
      </c>
      <c r="S1080" s="1">
        <v>34</v>
      </c>
    </row>
    <row r="1081" spans="1:19" x14ac:dyDescent="0.25">
      <c r="A1081" s="12">
        <v>42243</v>
      </c>
      <c r="B1081" s="14" t="s">
        <v>1096</v>
      </c>
      <c r="C1081" s="14"/>
      <c r="D1081" s="14"/>
      <c r="E1081" s="1">
        <v>38</v>
      </c>
      <c r="F1081" s="1">
        <f t="shared" si="35"/>
        <v>23.75</v>
      </c>
      <c r="G1081" s="1">
        <v>35</v>
      </c>
      <c r="H1081" s="1">
        <f t="shared" si="36"/>
        <v>28</v>
      </c>
      <c r="I1081" s="1">
        <v>47</v>
      </c>
      <c r="J1081" s="1">
        <f t="shared" si="37"/>
        <v>47.5</v>
      </c>
      <c r="M1081" s="1">
        <v>8</v>
      </c>
      <c r="P1081" s="2" t="s">
        <v>551</v>
      </c>
      <c r="Q1081" s="2" t="s">
        <v>551</v>
      </c>
      <c r="R1081" s="2" t="s">
        <v>551</v>
      </c>
      <c r="S1081" s="1">
        <v>35</v>
      </c>
    </row>
    <row r="1082" spans="1:19" x14ac:dyDescent="0.25">
      <c r="A1082" s="12">
        <v>42250</v>
      </c>
      <c r="B1082" s="14" t="s">
        <v>1097</v>
      </c>
      <c r="C1082" s="14"/>
      <c r="D1082" s="14"/>
      <c r="E1082" s="1">
        <v>36</v>
      </c>
      <c r="F1082" s="1">
        <f t="shared" si="35"/>
        <v>26.5</v>
      </c>
      <c r="G1082" s="1">
        <v>40</v>
      </c>
      <c r="H1082" s="1">
        <f t="shared" si="36"/>
        <v>25.5</v>
      </c>
      <c r="I1082" s="1">
        <v>53</v>
      </c>
      <c r="J1082" s="1">
        <f t="shared" si="37"/>
        <v>57.5</v>
      </c>
      <c r="M1082" s="1">
        <v>8</v>
      </c>
      <c r="P1082" s="2" t="s">
        <v>551</v>
      </c>
      <c r="Q1082" s="2" t="s">
        <v>551</v>
      </c>
      <c r="R1082" s="2" t="s">
        <v>551</v>
      </c>
      <c r="S1082" s="1">
        <v>36</v>
      </c>
    </row>
    <row r="1083" spans="1:19" x14ac:dyDescent="0.25">
      <c r="A1083" s="12">
        <v>42257</v>
      </c>
      <c r="B1083" s="14" t="s">
        <v>1098</v>
      </c>
      <c r="C1083" s="14"/>
      <c r="D1083" s="14"/>
      <c r="E1083" s="1">
        <v>38</v>
      </c>
      <c r="F1083" s="1">
        <f t="shared" si="35"/>
        <v>28.5</v>
      </c>
      <c r="G1083" s="1">
        <v>35</v>
      </c>
      <c r="H1083" s="1">
        <f t="shared" si="36"/>
        <v>34.5</v>
      </c>
      <c r="I1083" s="1">
        <v>62</v>
      </c>
      <c r="J1083" s="1">
        <f t="shared" si="37"/>
        <v>57.25</v>
      </c>
      <c r="M1083" s="1">
        <v>9</v>
      </c>
      <c r="P1083" s="2" t="s">
        <v>551</v>
      </c>
      <c r="Q1083" s="2" t="s">
        <v>551</v>
      </c>
      <c r="R1083" s="2" t="s">
        <v>551</v>
      </c>
      <c r="S1083" s="1">
        <v>37</v>
      </c>
    </row>
    <row r="1084" spans="1:19" x14ac:dyDescent="0.25">
      <c r="A1084" s="12">
        <v>42264</v>
      </c>
      <c r="B1084" s="14" t="s">
        <v>1099</v>
      </c>
      <c r="C1084" s="14"/>
      <c r="D1084" s="14"/>
      <c r="E1084" s="1">
        <v>46</v>
      </c>
      <c r="F1084" s="1">
        <f t="shared" si="35"/>
        <v>29.5</v>
      </c>
      <c r="G1084" s="1">
        <v>36</v>
      </c>
      <c r="H1084" s="1">
        <f t="shared" si="36"/>
        <v>36.25</v>
      </c>
      <c r="I1084" s="1">
        <v>61</v>
      </c>
      <c r="J1084" s="1">
        <f t="shared" si="37"/>
        <v>57</v>
      </c>
      <c r="M1084" s="1">
        <v>8</v>
      </c>
      <c r="P1084" s="2" t="s">
        <v>551</v>
      </c>
      <c r="Q1084" s="2" t="s">
        <v>551</v>
      </c>
      <c r="R1084" s="2" t="s">
        <v>551</v>
      </c>
      <c r="S1084" s="1">
        <v>38</v>
      </c>
    </row>
    <row r="1085" spans="1:19" x14ac:dyDescent="0.25">
      <c r="A1085" s="12">
        <v>42271</v>
      </c>
      <c r="B1085" s="14" t="s">
        <v>1100</v>
      </c>
      <c r="C1085" s="14"/>
      <c r="D1085" s="14"/>
      <c r="E1085" s="1">
        <v>47</v>
      </c>
      <c r="F1085" s="1">
        <f t="shared" si="35"/>
        <v>36.75</v>
      </c>
      <c r="G1085" s="1">
        <v>43</v>
      </c>
      <c r="H1085" s="1">
        <f t="shared" si="36"/>
        <v>38.25</v>
      </c>
      <c r="I1085" s="1">
        <v>49</v>
      </c>
      <c r="J1085" s="1">
        <f t="shared" si="37"/>
        <v>58</v>
      </c>
      <c r="M1085" s="1">
        <v>14</v>
      </c>
      <c r="P1085" s="2" t="s">
        <v>551</v>
      </c>
      <c r="Q1085" s="2" t="s">
        <v>551</v>
      </c>
      <c r="R1085" s="2" t="s">
        <v>551</v>
      </c>
      <c r="S1085" s="1">
        <v>39</v>
      </c>
    </row>
    <row r="1086" spans="1:19" x14ac:dyDescent="0.25">
      <c r="A1086" s="12">
        <v>42278</v>
      </c>
      <c r="B1086" s="14" t="s">
        <v>1101</v>
      </c>
      <c r="C1086" s="14"/>
      <c r="D1086" s="14"/>
      <c r="E1086" s="1">
        <v>49</v>
      </c>
      <c r="F1086" s="1">
        <f t="shared" si="35"/>
        <v>42.25</v>
      </c>
      <c r="G1086" s="1">
        <v>42</v>
      </c>
      <c r="H1086" s="1">
        <f t="shared" si="36"/>
        <v>36.5</v>
      </c>
      <c r="I1086" s="1">
        <v>64</v>
      </c>
      <c r="J1086" s="1">
        <f t="shared" si="37"/>
        <v>55.75</v>
      </c>
      <c r="M1086" s="1">
        <v>12</v>
      </c>
      <c r="P1086" s="2" t="s">
        <v>551</v>
      </c>
      <c r="Q1086" s="2" t="s">
        <v>551</v>
      </c>
      <c r="R1086" s="2" t="s">
        <v>551</v>
      </c>
      <c r="S1086" s="1">
        <v>40</v>
      </c>
    </row>
    <row r="1087" spans="1:19" x14ac:dyDescent="0.25">
      <c r="A1087" s="12">
        <v>42285</v>
      </c>
      <c r="B1087" s="14" t="s">
        <v>1102</v>
      </c>
      <c r="C1087" s="14"/>
      <c r="D1087" s="14"/>
      <c r="E1087" s="1">
        <v>45</v>
      </c>
      <c r="F1087" s="1">
        <f t="shared" si="35"/>
        <v>43.25</v>
      </c>
      <c r="G1087" s="1">
        <v>39</v>
      </c>
      <c r="H1087" s="1">
        <f t="shared" si="36"/>
        <v>40.5</v>
      </c>
      <c r="I1087" s="1">
        <v>75</v>
      </c>
      <c r="J1087" s="1">
        <f t="shared" si="37"/>
        <v>67.25</v>
      </c>
      <c r="M1087" s="1">
        <v>11</v>
      </c>
      <c r="P1087" s="2" t="s">
        <v>551</v>
      </c>
      <c r="Q1087" s="2" t="s">
        <v>551</v>
      </c>
      <c r="R1087" s="2" t="s">
        <v>551</v>
      </c>
      <c r="S1087" s="1">
        <v>40</v>
      </c>
    </row>
    <row r="1088" spans="1:19" x14ac:dyDescent="0.25">
      <c r="A1088" s="12">
        <v>42292</v>
      </c>
      <c r="B1088" s="14" t="s">
        <v>1103</v>
      </c>
      <c r="C1088" s="14"/>
      <c r="D1088" s="14"/>
      <c r="E1088" s="1">
        <v>45</v>
      </c>
      <c r="F1088" s="1">
        <f t="shared" si="35"/>
        <v>44.5</v>
      </c>
      <c r="G1088" s="1">
        <v>45</v>
      </c>
      <c r="H1088" s="1">
        <f t="shared" si="36"/>
        <v>44.75</v>
      </c>
      <c r="I1088" s="1">
        <v>60</v>
      </c>
      <c r="J1088" s="1">
        <f t="shared" si="37"/>
        <v>64</v>
      </c>
      <c r="M1088" s="1">
        <v>12</v>
      </c>
      <c r="P1088" s="2" t="s">
        <v>551</v>
      </c>
      <c r="Q1088" s="2" t="s">
        <v>551</v>
      </c>
      <c r="R1088" s="2" t="s">
        <v>551</v>
      </c>
      <c r="S1088" s="1">
        <v>41</v>
      </c>
    </row>
    <row r="1089" spans="1:19" x14ac:dyDescent="0.25">
      <c r="A1089" s="12">
        <v>42299</v>
      </c>
      <c r="B1089" s="14" t="s">
        <v>1104</v>
      </c>
      <c r="C1089" s="14"/>
      <c r="D1089" s="14"/>
      <c r="E1089" s="1">
        <v>51</v>
      </c>
      <c r="F1089" s="1">
        <f t="shared" si="35"/>
        <v>46.5</v>
      </c>
      <c r="G1089" s="1">
        <v>44</v>
      </c>
      <c r="H1089" s="1">
        <f t="shared" si="36"/>
        <v>41.5</v>
      </c>
      <c r="I1089" s="1">
        <v>58</v>
      </c>
      <c r="J1089" s="1">
        <f t="shared" si="37"/>
        <v>58.75</v>
      </c>
      <c r="M1089" s="1">
        <v>17</v>
      </c>
      <c r="P1089" s="2" t="s">
        <v>551</v>
      </c>
      <c r="Q1089" s="2" t="s">
        <v>551</v>
      </c>
      <c r="R1089" s="2" t="s">
        <v>551</v>
      </c>
      <c r="S1089" s="1">
        <v>42</v>
      </c>
    </row>
    <row r="1090" spans="1:19" x14ac:dyDescent="0.25">
      <c r="A1090" s="12">
        <v>42306</v>
      </c>
      <c r="B1090" s="14" t="s">
        <v>1105</v>
      </c>
      <c r="C1090" s="14"/>
      <c r="D1090" s="14"/>
      <c r="E1090" s="1">
        <v>45</v>
      </c>
      <c r="F1090" s="1">
        <f t="shared" si="35"/>
        <v>38.25</v>
      </c>
      <c r="G1090" s="1">
        <v>37</v>
      </c>
      <c r="H1090" s="1">
        <f t="shared" si="36"/>
        <v>40.75</v>
      </c>
      <c r="I1090" s="1">
        <v>74</v>
      </c>
      <c r="J1090" s="1">
        <f t="shared" si="37"/>
        <v>64.25</v>
      </c>
      <c r="M1090" s="1">
        <v>11</v>
      </c>
      <c r="P1090" s="2" t="s">
        <v>551</v>
      </c>
      <c r="Q1090" s="2" t="s">
        <v>551</v>
      </c>
      <c r="R1090" s="2" t="s">
        <v>551</v>
      </c>
      <c r="S1090" s="1">
        <v>43</v>
      </c>
    </row>
    <row r="1091" spans="1:19" x14ac:dyDescent="0.25">
      <c r="A1091" s="12">
        <v>42313</v>
      </c>
      <c r="B1091" s="14" t="s">
        <v>1106</v>
      </c>
      <c r="C1091" s="14"/>
      <c r="D1091" s="14"/>
      <c r="E1091" s="1">
        <v>54</v>
      </c>
      <c r="F1091" s="1">
        <f t="shared" si="35"/>
        <v>42.25</v>
      </c>
      <c r="G1091" s="1">
        <v>46</v>
      </c>
      <c r="H1091" s="1">
        <f t="shared" si="36"/>
        <v>41.25</v>
      </c>
      <c r="I1091" s="1">
        <v>61</v>
      </c>
      <c r="J1091" s="1">
        <f t="shared" si="37"/>
        <v>62.75</v>
      </c>
      <c r="M1091" s="1">
        <v>8</v>
      </c>
      <c r="P1091" s="2" t="s">
        <v>551</v>
      </c>
      <c r="Q1091" s="2" t="s">
        <v>551</v>
      </c>
      <c r="R1091" s="2" t="s">
        <v>551</v>
      </c>
      <c r="S1091" s="1">
        <v>44</v>
      </c>
    </row>
    <row r="1092" spans="1:19" x14ac:dyDescent="0.25">
      <c r="A1092" s="12">
        <v>42320</v>
      </c>
      <c r="B1092" s="14" t="s">
        <v>1107</v>
      </c>
      <c r="C1092" s="14"/>
      <c r="D1092" s="14"/>
      <c r="E1092" s="1">
        <v>52</v>
      </c>
      <c r="F1092" s="1">
        <f t="shared" si="35"/>
        <v>41.25</v>
      </c>
      <c r="G1092" s="1">
        <v>44</v>
      </c>
      <c r="H1092" s="1">
        <f t="shared" si="36"/>
        <v>46.25</v>
      </c>
      <c r="I1092" s="1">
        <v>67</v>
      </c>
      <c r="J1092" s="1">
        <f t="shared" si="37"/>
        <v>57.75</v>
      </c>
      <c r="M1092" s="1">
        <v>9</v>
      </c>
      <c r="P1092" s="2" t="s">
        <v>551</v>
      </c>
      <c r="Q1092" s="2" t="s">
        <v>551</v>
      </c>
      <c r="R1092" s="2" t="s">
        <v>551</v>
      </c>
      <c r="S1092" s="1">
        <v>45</v>
      </c>
    </row>
    <row r="1093" spans="1:19" x14ac:dyDescent="0.25">
      <c r="A1093" s="12">
        <v>42327</v>
      </c>
      <c r="B1093" s="14" t="s">
        <v>1108</v>
      </c>
      <c r="C1093" s="14"/>
      <c r="D1093" s="14"/>
      <c r="E1093" s="1">
        <v>49</v>
      </c>
      <c r="F1093" s="1">
        <f t="shared" si="35"/>
        <v>38.5</v>
      </c>
      <c r="G1093" s="1">
        <v>41</v>
      </c>
      <c r="H1093" s="1">
        <f t="shared" si="36"/>
        <v>41.75</v>
      </c>
      <c r="I1093" s="1">
        <v>59</v>
      </c>
      <c r="J1093" s="1">
        <f t="shared" si="37"/>
        <v>60.75</v>
      </c>
      <c r="M1093" s="1">
        <v>12</v>
      </c>
      <c r="P1093" s="2" t="s">
        <v>551</v>
      </c>
      <c r="Q1093" s="2" t="s">
        <v>551</v>
      </c>
      <c r="R1093" s="2" t="s">
        <v>551</v>
      </c>
      <c r="S1093" s="1">
        <v>46</v>
      </c>
    </row>
    <row r="1094" spans="1:19" x14ac:dyDescent="0.25">
      <c r="A1094" s="12">
        <v>42334</v>
      </c>
      <c r="B1094" s="14" t="s">
        <v>1109</v>
      </c>
      <c r="C1094" s="14"/>
      <c r="D1094" s="14"/>
      <c r="E1094" s="1">
        <v>51</v>
      </c>
      <c r="F1094" s="1">
        <f t="shared" si="35"/>
        <v>35.25</v>
      </c>
      <c r="G1094" s="1">
        <v>42</v>
      </c>
      <c r="H1094" s="1">
        <f t="shared" si="36"/>
        <v>41.75</v>
      </c>
      <c r="I1094" s="1">
        <v>69</v>
      </c>
      <c r="J1094" s="1">
        <f t="shared" si="37"/>
        <v>61</v>
      </c>
      <c r="M1094" s="2" t="s">
        <v>551</v>
      </c>
      <c r="P1094" s="2" t="s">
        <v>551</v>
      </c>
      <c r="Q1094" s="2" t="s">
        <v>551</v>
      </c>
      <c r="R1094" s="2" t="s">
        <v>551</v>
      </c>
      <c r="S1094" s="1">
        <v>47</v>
      </c>
    </row>
    <row r="1095" spans="1:19" x14ac:dyDescent="0.25">
      <c r="A1095" s="12">
        <v>42341</v>
      </c>
      <c r="B1095" s="14" t="s">
        <v>1110</v>
      </c>
      <c r="C1095" s="14"/>
      <c r="D1095" s="14"/>
      <c r="E1095" s="1">
        <v>47</v>
      </c>
      <c r="F1095" s="1">
        <f t="shared" si="35"/>
        <v>39.25</v>
      </c>
      <c r="G1095" s="1">
        <v>38</v>
      </c>
      <c r="H1095" s="1">
        <f t="shared" si="36"/>
        <v>42.25</v>
      </c>
      <c r="I1095" s="1">
        <v>53</v>
      </c>
      <c r="J1095" s="1">
        <f t="shared" si="37"/>
        <v>62.25</v>
      </c>
      <c r="M1095" s="1">
        <v>8</v>
      </c>
      <c r="P1095" s="2" t="s">
        <v>551</v>
      </c>
      <c r="Q1095" s="2" t="s">
        <v>551</v>
      </c>
      <c r="R1095" s="2" t="s">
        <v>551</v>
      </c>
      <c r="S1095" s="1">
        <v>48</v>
      </c>
    </row>
    <row r="1096" spans="1:19" x14ac:dyDescent="0.25">
      <c r="A1096" s="12">
        <v>42348</v>
      </c>
      <c r="B1096" s="14" t="s">
        <v>1111</v>
      </c>
      <c r="C1096" s="14"/>
      <c r="D1096" s="14"/>
      <c r="E1096" s="1">
        <v>48</v>
      </c>
      <c r="F1096" s="1">
        <f t="shared" si="35"/>
        <v>38</v>
      </c>
      <c r="G1096" s="1">
        <v>49</v>
      </c>
      <c r="H1096" s="1">
        <f t="shared" si="36"/>
        <v>40</v>
      </c>
      <c r="I1096" s="1">
        <v>69</v>
      </c>
      <c r="J1096" s="1">
        <f t="shared" si="37"/>
        <v>60.75</v>
      </c>
      <c r="M1096" s="1">
        <v>15</v>
      </c>
      <c r="P1096" s="2" t="s">
        <v>551</v>
      </c>
      <c r="Q1096" s="2" t="s">
        <v>551</v>
      </c>
      <c r="R1096" s="2" t="s">
        <v>551</v>
      </c>
      <c r="S1096" s="1">
        <v>49</v>
      </c>
    </row>
    <row r="1097" spans="1:19" x14ac:dyDescent="0.25">
      <c r="A1097" s="12">
        <v>42355</v>
      </c>
      <c r="B1097" s="14" t="s">
        <v>1112</v>
      </c>
      <c r="C1097" s="14"/>
      <c r="D1097" s="14"/>
      <c r="E1097" s="1">
        <v>39</v>
      </c>
      <c r="F1097" s="1">
        <f t="shared" si="35"/>
        <v>37.5</v>
      </c>
      <c r="G1097" s="1">
        <v>43</v>
      </c>
      <c r="H1097" s="1">
        <f t="shared" si="36"/>
        <v>38.75</v>
      </c>
      <c r="I1097" s="1">
        <v>59</v>
      </c>
      <c r="J1097" s="1">
        <f t="shared" si="37"/>
        <v>58.75</v>
      </c>
      <c r="M1097" s="1">
        <v>13</v>
      </c>
      <c r="P1097" s="2" t="s">
        <v>551</v>
      </c>
      <c r="Q1097" s="2" t="s">
        <v>551</v>
      </c>
      <c r="R1097" s="2" t="s">
        <v>551</v>
      </c>
      <c r="S1097" s="1">
        <v>50</v>
      </c>
    </row>
    <row r="1098" spans="1:19" x14ac:dyDescent="0.25">
      <c r="A1098" s="12">
        <v>42362</v>
      </c>
      <c r="B1098" s="14" t="s">
        <v>1113</v>
      </c>
      <c r="C1098" s="14"/>
      <c r="D1098" s="14"/>
      <c r="E1098" s="1">
        <v>48</v>
      </c>
      <c r="F1098" s="1">
        <f t="shared" si="35"/>
        <v>35.75</v>
      </c>
      <c r="G1098" s="1">
        <v>40</v>
      </c>
      <c r="H1098" s="1">
        <f t="shared" si="36"/>
        <v>32.5</v>
      </c>
      <c r="I1098" s="1">
        <v>51</v>
      </c>
      <c r="J1098" s="1">
        <f t="shared" si="37"/>
        <v>55.75</v>
      </c>
      <c r="M1098" s="1">
        <v>17</v>
      </c>
      <c r="P1098" s="2" t="s">
        <v>551</v>
      </c>
      <c r="Q1098" s="2" t="s">
        <v>551</v>
      </c>
      <c r="R1098" s="2" t="s">
        <v>551</v>
      </c>
      <c r="S1098" s="1">
        <v>51</v>
      </c>
    </row>
    <row r="1099" spans="1:19" x14ac:dyDescent="0.25">
      <c r="A1099" s="12">
        <v>42369</v>
      </c>
      <c r="B1099" s="14" t="s">
        <v>1114</v>
      </c>
      <c r="C1099" s="14"/>
      <c r="D1099" s="14"/>
      <c r="E1099" s="1">
        <v>52</v>
      </c>
      <c r="F1099" s="1">
        <f t="shared" si="35"/>
        <v>35.5</v>
      </c>
      <c r="G1099" s="1">
        <v>34</v>
      </c>
      <c r="H1099" s="1">
        <f t="shared" si="36"/>
        <v>37.5</v>
      </c>
      <c r="I1099" s="1">
        <v>56</v>
      </c>
      <c r="J1099" s="1">
        <f t="shared" si="37"/>
        <v>64.25</v>
      </c>
      <c r="M1099" s="1">
        <v>13</v>
      </c>
      <c r="P1099" s="2" t="s">
        <v>551</v>
      </c>
      <c r="Q1099" s="2" t="s">
        <v>551</v>
      </c>
      <c r="R1099" s="2" t="s">
        <v>551</v>
      </c>
      <c r="S1099" s="1">
        <v>52</v>
      </c>
    </row>
    <row r="1100" spans="1:19" x14ac:dyDescent="0.25">
      <c r="A1100" s="12">
        <v>42376</v>
      </c>
      <c r="B1100" s="14" t="s">
        <v>1115</v>
      </c>
      <c r="C1100" s="14"/>
      <c r="D1100" s="14"/>
      <c r="E1100" s="1">
        <v>43</v>
      </c>
      <c r="F1100" s="1">
        <f t="shared" si="35"/>
        <v>35.75</v>
      </c>
      <c r="G1100" s="1">
        <v>35</v>
      </c>
      <c r="H1100" s="1">
        <f t="shared" si="36"/>
        <v>38.25</v>
      </c>
      <c r="I1100" s="1">
        <v>59</v>
      </c>
      <c r="J1100" s="1">
        <f t="shared" si="37"/>
        <v>66</v>
      </c>
      <c r="M1100" s="1">
        <v>12</v>
      </c>
      <c r="P1100" s="2" t="s">
        <v>551</v>
      </c>
      <c r="Q1100" s="2" t="s">
        <v>551</v>
      </c>
      <c r="R1100" s="2" t="s">
        <v>551</v>
      </c>
      <c r="S1100" s="1">
        <v>1</v>
      </c>
    </row>
    <row r="1101" spans="1:19" x14ac:dyDescent="0.25">
      <c r="A1101" s="12">
        <v>42383</v>
      </c>
      <c r="B1101" s="14" t="s">
        <v>1116</v>
      </c>
      <c r="C1101" s="14"/>
      <c r="D1101" s="14"/>
      <c r="E1101" s="1">
        <v>45</v>
      </c>
      <c r="F1101" s="1">
        <f t="shared" si="35"/>
        <v>44.5</v>
      </c>
      <c r="G1101" s="1">
        <v>44</v>
      </c>
      <c r="H1101" s="1">
        <f t="shared" si="36"/>
        <v>39.25</v>
      </c>
      <c r="I1101" s="1">
        <v>71</v>
      </c>
      <c r="J1101" s="1">
        <f t="shared" si="37"/>
        <v>65.75</v>
      </c>
      <c r="M1101" s="1">
        <v>13</v>
      </c>
      <c r="P1101" s="2" t="s">
        <v>551</v>
      </c>
      <c r="Q1101" s="2" t="s">
        <v>551</v>
      </c>
      <c r="R1101" s="2" t="s">
        <v>551</v>
      </c>
      <c r="S1101" s="1">
        <v>2</v>
      </c>
    </row>
    <row r="1102" spans="1:19" x14ac:dyDescent="0.25">
      <c r="A1102" s="12">
        <v>42390</v>
      </c>
      <c r="B1102" s="14" t="s">
        <v>1117</v>
      </c>
      <c r="C1102" s="14"/>
      <c r="D1102" s="14"/>
      <c r="E1102" s="1">
        <v>52</v>
      </c>
      <c r="F1102" s="1">
        <f t="shared" si="35"/>
        <v>46.75</v>
      </c>
      <c r="G1102" s="1">
        <v>32</v>
      </c>
      <c r="H1102" s="1">
        <f t="shared" si="36"/>
        <v>43.75</v>
      </c>
      <c r="I1102" s="1">
        <v>56</v>
      </c>
      <c r="J1102" s="1">
        <f t="shared" si="37"/>
        <v>63.25</v>
      </c>
      <c r="M1102" s="1">
        <v>18</v>
      </c>
      <c r="P1102" s="2" t="s">
        <v>551</v>
      </c>
      <c r="Q1102" s="2" t="s">
        <v>551</v>
      </c>
      <c r="R1102" s="2" t="s">
        <v>551</v>
      </c>
      <c r="S1102" s="1">
        <v>3</v>
      </c>
    </row>
    <row r="1103" spans="1:19" x14ac:dyDescent="0.25">
      <c r="A1103" s="12">
        <v>42397</v>
      </c>
      <c r="B1103" s="14" t="s">
        <v>1118</v>
      </c>
      <c r="C1103" s="14"/>
      <c r="D1103" s="14"/>
      <c r="E1103" s="1">
        <v>62</v>
      </c>
      <c r="F1103" s="1">
        <f t="shared" si="35"/>
        <v>45</v>
      </c>
      <c r="G1103" s="1">
        <v>32</v>
      </c>
      <c r="H1103" s="1">
        <f t="shared" si="36"/>
        <v>39</v>
      </c>
      <c r="I1103" s="1">
        <v>56</v>
      </c>
      <c r="J1103" s="1">
        <f t="shared" si="37"/>
        <v>65.5</v>
      </c>
      <c r="M1103" s="1">
        <v>20</v>
      </c>
      <c r="P1103" s="2" t="s">
        <v>551</v>
      </c>
      <c r="Q1103" s="2" t="s">
        <v>551</v>
      </c>
      <c r="R1103" s="2" t="s">
        <v>551</v>
      </c>
      <c r="S1103" s="1">
        <v>4</v>
      </c>
    </row>
    <row r="1104" spans="1:19" x14ac:dyDescent="0.25">
      <c r="A1104" s="12">
        <v>42404</v>
      </c>
      <c r="B1104" s="14" t="s">
        <v>1119</v>
      </c>
      <c r="C1104" s="14"/>
      <c r="D1104" s="14"/>
      <c r="E1104" s="1">
        <v>47</v>
      </c>
      <c r="F1104" s="1">
        <f t="shared" si="35"/>
        <v>47.75</v>
      </c>
      <c r="G1104" s="1">
        <v>32</v>
      </c>
      <c r="H1104" s="1">
        <f t="shared" si="36"/>
        <v>38.75</v>
      </c>
      <c r="I1104" s="1">
        <v>62</v>
      </c>
      <c r="J1104" s="1">
        <f t="shared" si="37"/>
        <v>61.75</v>
      </c>
      <c r="M1104" s="1">
        <v>16</v>
      </c>
      <c r="P1104" s="2" t="s">
        <v>551</v>
      </c>
      <c r="Q1104" s="2" t="s">
        <v>551</v>
      </c>
      <c r="R1104" s="2" t="s">
        <v>551</v>
      </c>
      <c r="S1104" s="1">
        <v>5</v>
      </c>
    </row>
    <row r="1105" spans="1:19" x14ac:dyDescent="0.25">
      <c r="A1105" s="12">
        <v>42411</v>
      </c>
      <c r="B1105" s="14" t="s">
        <v>1120</v>
      </c>
      <c r="C1105" s="14"/>
      <c r="D1105" s="14"/>
      <c r="E1105" s="1">
        <v>53</v>
      </c>
      <c r="F1105" s="1">
        <f t="shared" si="35"/>
        <v>47.25</v>
      </c>
      <c r="G1105" s="1">
        <v>41</v>
      </c>
      <c r="H1105" s="1">
        <f t="shared" si="36"/>
        <v>40.5</v>
      </c>
      <c r="I1105" s="1">
        <v>66</v>
      </c>
      <c r="J1105" s="1">
        <f t="shared" si="37"/>
        <v>53.75</v>
      </c>
      <c r="M1105" s="1">
        <v>20</v>
      </c>
      <c r="P1105" s="2" t="s">
        <v>551</v>
      </c>
      <c r="Q1105" s="2" t="s">
        <v>551</v>
      </c>
      <c r="R1105" s="2" t="s">
        <v>551</v>
      </c>
      <c r="S1105" s="1">
        <v>6</v>
      </c>
    </row>
    <row r="1106" spans="1:19" x14ac:dyDescent="0.25">
      <c r="A1106" s="12">
        <v>42418</v>
      </c>
      <c r="B1106" s="14" t="s">
        <v>1121</v>
      </c>
      <c r="C1106" s="14"/>
      <c r="D1106" s="14"/>
      <c r="E1106" s="1">
        <v>49</v>
      </c>
      <c r="F1106" s="1">
        <f t="shared" si="35"/>
        <v>44</v>
      </c>
      <c r="G1106" s="1">
        <v>41</v>
      </c>
      <c r="H1106" s="1">
        <f t="shared" si="36"/>
        <v>38</v>
      </c>
      <c r="I1106" s="1">
        <v>53</v>
      </c>
      <c r="J1106" s="1">
        <f t="shared" si="37"/>
        <v>51.5</v>
      </c>
      <c r="M1106" s="1">
        <v>19</v>
      </c>
      <c r="P1106" s="2" t="s">
        <v>551</v>
      </c>
      <c r="Q1106" s="2" t="s">
        <v>551</v>
      </c>
      <c r="R1106" s="2" t="s">
        <v>551</v>
      </c>
      <c r="S1106" s="1">
        <v>7</v>
      </c>
    </row>
    <row r="1107" spans="1:19" x14ac:dyDescent="0.25">
      <c r="A1107" s="12">
        <v>42425</v>
      </c>
      <c r="B1107" s="14" t="s">
        <v>1122</v>
      </c>
      <c r="C1107" s="14"/>
      <c r="D1107" s="14"/>
      <c r="E1107" s="1">
        <v>50</v>
      </c>
      <c r="F1107" s="1">
        <f t="shared" ref="F1107:F1162" si="38">AVERAGE(E1055,E1003,E951,E899)</f>
        <v>46</v>
      </c>
      <c r="G1107" s="1">
        <v>38</v>
      </c>
      <c r="H1107" s="1">
        <f t="shared" ref="H1107:H1162" si="39">AVERAGE(G1055,G1003,G951,G899)</f>
        <v>36.75</v>
      </c>
      <c r="I1107" s="1">
        <v>55</v>
      </c>
      <c r="J1107" s="1">
        <f t="shared" ref="J1107:J1162" si="40">AVERAGE(I1055,I1003,I951,I899)</f>
        <v>51.75</v>
      </c>
      <c r="M1107" s="1">
        <v>19</v>
      </c>
      <c r="P1107" s="2" t="s">
        <v>551</v>
      </c>
      <c r="Q1107" s="2" t="s">
        <v>551</v>
      </c>
      <c r="R1107" s="2" t="s">
        <v>551</v>
      </c>
      <c r="S1107" s="1">
        <v>8</v>
      </c>
    </row>
    <row r="1108" spans="1:19" x14ac:dyDescent="0.25">
      <c r="A1108" s="12">
        <v>42432</v>
      </c>
      <c r="B1108" s="14" t="s">
        <v>1123</v>
      </c>
      <c r="C1108" s="14"/>
      <c r="D1108" s="14"/>
      <c r="E1108" s="1">
        <v>37</v>
      </c>
      <c r="F1108" s="1">
        <f t="shared" si="38"/>
        <v>42.5</v>
      </c>
      <c r="G1108" s="1">
        <v>41</v>
      </c>
      <c r="H1108" s="1">
        <f t="shared" si="39"/>
        <v>37.75</v>
      </c>
      <c r="I1108" s="1">
        <v>52</v>
      </c>
      <c r="J1108" s="1">
        <f t="shared" si="40"/>
        <v>50.25</v>
      </c>
      <c r="M1108" s="1">
        <v>15</v>
      </c>
      <c r="P1108" s="2" t="s">
        <v>551</v>
      </c>
      <c r="Q1108" s="2" t="s">
        <v>551</v>
      </c>
      <c r="R1108" s="2" t="s">
        <v>551</v>
      </c>
      <c r="S1108" s="1">
        <v>9</v>
      </c>
    </row>
    <row r="1109" spans="1:19" x14ac:dyDescent="0.25">
      <c r="A1109" s="12">
        <v>42439</v>
      </c>
      <c r="B1109" s="14" t="s">
        <v>1124</v>
      </c>
      <c r="C1109" s="14"/>
      <c r="D1109" s="14"/>
      <c r="E1109" s="1">
        <v>40</v>
      </c>
      <c r="F1109" s="1">
        <f t="shared" si="38"/>
        <v>40.75</v>
      </c>
      <c r="G1109" s="1">
        <v>37</v>
      </c>
      <c r="H1109" s="1">
        <f t="shared" si="39"/>
        <v>34</v>
      </c>
      <c r="I1109" s="1">
        <v>48</v>
      </c>
      <c r="J1109" s="1">
        <f t="shared" si="40"/>
        <v>46.75</v>
      </c>
      <c r="M1109" s="1">
        <v>13</v>
      </c>
      <c r="P1109" s="2" t="s">
        <v>551</v>
      </c>
      <c r="Q1109" s="2" t="s">
        <v>551</v>
      </c>
      <c r="R1109" s="2" t="s">
        <v>551</v>
      </c>
      <c r="S1109" s="1">
        <v>10</v>
      </c>
    </row>
    <row r="1110" spans="1:19" x14ac:dyDescent="0.25">
      <c r="A1110" s="12">
        <v>42446</v>
      </c>
      <c r="B1110" s="14" t="s">
        <v>1125</v>
      </c>
      <c r="C1110" s="14"/>
      <c r="D1110" s="14"/>
      <c r="E1110" s="1">
        <v>40</v>
      </c>
      <c r="F1110" s="1">
        <f t="shared" si="38"/>
        <v>38</v>
      </c>
      <c r="G1110" s="1">
        <v>36</v>
      </c>
      <c r="H1110" s="1">
        <f t="shared" si="39"/>
        <v>36.25</v>
      </c>
      <c r="I1110" s="1">
        <v>51</v>
      </c>
      <c r="J1110" s="1">
        <f t="shared" si="40"/>
        <v>46.75</v>
      </c>
      <c r="M1110" s="1">
        <v>16</v>
      </c>
      <c r="P1110" s="2" t="s">
        <v>551</v>
      </c>
      <c r="Q1110" s="2" t="s">
        <v>551</v>
      </c>
      <c r="R1110" s="2" t="s">
        <v>551</v>
      </c>
      <c r="S1110" s="1">
        <v>11</v>
      </c>
    </row>
    <row r="1111" spans="1:19" x14ac:dyDescent="0.25">
      <c r="A1111" s="12">
        <v>42453</v>
      </c>
      <c r="B1111" s="14" t="s">
        <v>1126</v>
      </c>
      <c r="C1111" s="14"/>
      <c r="D1111" s="14"/>
      <c r="E1111" s="1">
        <v>39</v>
      </c>
      <c r="F1111" s="1">
        <f t="shared" si="38"/>
        <v>34.75</v>
      </c>
      <c r="G1111" s="1">
        <v>38</v>
      </c>
      <c r="H1111" s="1">
        <f t="shared" si="39"/>
        <v>34</v>
      </c>
      <c r="I1111" s="1">
        <v>44</v>
      </c>
      <c r="J1111" s="1">
        <f t="shared" si="40"/>
        <v>52</v>
      </c>
      <c r="M1111" s="1">
        <v>17</v>
      </c>
      <c r="P1111" s="2" t="s">
        <v>551</v>
      </c>
      <c r="Q1111" s="2" t="s">
        <v>551</v>
      </c>
      <c r="R1111" s="2" t="s">
        <v>551</v>
      </c>
      <c r="S1111" s="1">
        <v>12</v>
      </c>
    </row>
    <row r="1112" spans="1:19" x14ac:dyDescent="0.25">
      <c r="A1112" s="12">
        <v>42460</v>
      </c>
      <c r="B1112" s="14" t="s">
        <v>1127</v>
      </c>
      <c r="C1112" s="14"/>
      <c r="D1112" s="14"/>
      <c r="E1112" s="1">
        <v>35</v>
      </c>
      <c r="F1112" s="1">
        <f t="shared" si="38"/>
        <v>38.5</v>
      </c>
      <c r="G1112" s="1">
        <v>33</v>
      </c>
      <c r="H1112" s="1">
        <f t="shared" si="39"/>
        <v>31.25</v>
      </c>
      <c r="I1112" s="1">
        <v>47</v>
      </c>
      <c r="J1112" s="1">
        <f t="shared" si="40"/>
        <v>46.75</v>
      </c>
      <c r="M1112" s="1">
        <v>14</v>
      </c>
      <c r="P1112" s="2" t="s">
        <v>551</v>
      </c>
      <c r="Q1112" s="2" t="s">
        <v>551</v>
      </c>
      <c r="R1112" s="2" t="s">
        <v>551</v>
      </c>
      <c r="S1112" s="1">
        <v>13</v>
      </c>
    </row>
    <row r="1113" spans="1:19" x14ac:dyDescent="0.25">
      <c r="A1113" s="12">
        <v>42467</v>
      </c>
      <c r="B1113" s="14" t="s">
        <v>1128</v>
      </c>
      <c r="C1113" s="14"/>
      <c r="D1113" s="14"/>
      <c r="E1113" s="1">
        <v>34</v>
      </c>
      <c r="F1113" s="1">
        <f t="shared" si="38"/>
        <v>40</v>
      </c>
      <c r="G1113" s="1">
        <v>33</v>
      </c>
      <c r="H1113" s="1">
        <f t="shared" si="39"/>
        <v>35.75</v>
      </c>
      <c r="I1113" s="1">
        <v>49</v>
      </c>
      <c r="J1113" s="1">
        <f t="shared" si="40"/>
        <v>41.75</v>
      </c>
      <c r="M1113" s="1">
        <v>12</v>
      </c>
      <c r="P1113" s="2" t="s">
        <v>551</v>
      </c>
      <c r="Q1113" s="2" t="s">
        <v>551</v>
      </c>
      <c r="R1113" s="2" t="s">
        <v>551</v>
      </c>
      <c r="S1113" s="1">
        <v>14</v>
      </c>
    </row>
    <row r="1114" spans="1:19" x14ac:dyDescent="0.25">
      <c r="A1114" s="12">
        <v>42474</v>
      </c>
      <c r="B1114" s="14" t="s">
        <v>1129</v>
      </c>
      <c r="C1114" s="14"/>
      <c r="D1114" s="14"/>
      <c r="E1114" s="1">
        <v>33</v>
      </c>
      <c r="F1114" s="1">
        <f t="shared" si="38"/>
        <v>33.75</v>
      </c>
      <c r="G1114" s="1">
        <v>33</v>
      </c>
      <c r="H1114" s="1">
        <f t="shared" si="39"/>
        <v>32.75</v>
      </c>
      <c r="I1114" s="1">
        <v>56</v>
      </c>
      <c r="J1114" s="1">
        <f t="shared" si="40"/>
        <v>40.25</v>
      </c>
      <c r="M1114" s="1">
        <v>16</v>
      </c>
      <c r="P1114" s="2" t="s">
        <v>551</v>
      </c>
      <c r="Q1114" s="2" t="s">
        <v>551</v>
      </c>
      <c r="R1114" s="2" t="s">
        <v>551</v>
      </c>
      <c r="S1114" s="1">
        <v>15</v>
      </c>
    </row>
    <row r="1115" spans="1:19" x14ac:dyDescent="0.25">
      <c r="A1115" s="12">
        <v>42481</v>
      </c>
      <c r="B1115" s="14" t="s">
        <v>1130</v>
      </c>
      <c r="C1115" s="14"/>
      <c r="D1115" s="14"/>
      <c r="E1115" s="1">
        <v>33</v>
      </c>
      <c r="F1115" s="1">
        <f t="shared" si="38"/>
        <v>30.25</v>
      </c>
      <c r="G1115" s="1">
        <v>37</v>
      </c>
      <c r="H1115" s="1">
        <f t="shared" si="39"/>
        <v>30</v>
      </c>
      <c r="I1115" s="1">
        <v>56</v>
      </c>
      <c r="J1115" s="1">
        <f t="shared" si="40"/>
        <v>41</v>
      </c>
      <c r="M1115" s="1">
        <v>10</v>
      </c>
      <c r="P1115" s="2" t="s">
        <v>551</v>
      </c>
      <c r="Q1115" s="2" t="s">
        <v>551</v>
      </c>
      <c r="R1115" s="2" t="s">
        <v>551</v>
      </c>
      <c r="S1115" s="1">
        <v>16</v>
      </c>
    </row>
    <row r="1116" spans="1:19" x14ac:dyDescent="0.25">
      <c r="A1116" s="12">
        <v>42488</v>
      </c>
      <c r="B1116" s="14" t="s">
        <v>1131</v>
      </c>
      <c r="C1116" s="14"/>
      <c r="D1116" s="14"/>
      <c r="E1116" s="1">
        <v>33</v>
      </c>
      <c r="F1116" s="1">
        <f t="shared" si="38"/>
        <v>33.5</v>
      </c>
      <c r="G1116" s="1">
        <v>36</v>
      </c>
      <c r="H1116" s="1">
        <f t="shared" si="39"/>
        <v>29.75</v>
      </c>
      <c r="I1116" s="1">
        <v>50</v>
      </c>
      <c r="J1116" s="1">
        <f t="shared" si="40"/>
        <v>43.75</v>
      </c>
      <c r="M1116" s="1">
        <v>9</v>
      </c>
      <c r="P1116" s="2" t="s">
        <v>551</v>
      </c>
      <c r="Q1116" s="2" t="s">
        <v>551</v>
      </c>
      <c r="R1116" s="2" t="s">
        <v>551</v>
      </c>
      <c r="S1116" s="1">
        <v>17</v>
      </c>
    </row>
    <row r="1117" spans="1:19" x14ac:dyDescent="0.25">
      <c r="A1117" s="12">
        <v>42495</v>
      </c>
      <c r="B1117" s="14" t="s">
        <v>1132</v>
      </c>
      <c r="C1117" s="14"/>
      <c r="D1117" s="14"/>
      <c r="E1117" s="1">
        <v>28</v>
      </c>
      <c r="F1117" s="1">
        <f t="shared" si="38"/>
        <v>31.75</v>
      </c>
      <c r="G1117" s="1">
        <v>35</v>
      </c>
      <c r="H1117" s="1">
        <f t="shared" si="39"/>
        <v>31.5</v>
      </c>
      <c r="I1117" s="1">
        <v>46</v>
      </c>
      <c r="J1117" s="1">
        <f t="shared" si="40"/>
        <v>40</v>
      </c>
      <c r="M1117" s="1">
        <v>8</v>
      </c>
      <c r="P1117" s="2" t="s">
        <v>551</v>
      </c>
      <c r="Q1117" s="2" t="s">
        <v>551</v>
      </c>
      <c r="R1117" s="2" t="s">
        <v>551</v>
      </c>
      <c r="S1117" s="1">
        <v>18</v>
      </c>
    </row>
    <row r="1118" spans="1:19" x14ac:dyDescent="0.25">
      <c r="A1118" s="12">
        <v>42502</v>
      </c>
      <c r="B1118" s="14" t="s">
        <v>1133</v>
      </c>
      <c r="C1118" s="14"/>
      <c r="D1118" s="14"/>
      <c r="E1118" s="1">
        <v>21</v>
      </c>
      <c r="F1118" s="1">
        <f t="shared" si="38"/>
        <v>33.5</v>
      </c>
      <c r="G1118" s="1">
        <v>34</v>
      </c>
      <c r="H1118" s="1">
        <f t="shared" si="39"/>
        <v>28.75</v>
      </c>
      <c r="I1118" s="1">
        <v>40</v>
      </c>
      <c r="J1118" s="1">
        <f t="shared" si="40"/>
        <v>42.75</v>
      </c>
      <c r="M1118" s="1">
        <v>6</v>
      </c>
      <c r="P1118" s="2" t="s">
        <v>551</v>
      </c>
      <c r="Q1118" s="2" t="s">
        <v>551</v>
      </c>
      <c r="R1118" s="2" t="s">
        <v>551</v>
      </c>
      <c r="S1118" s="1">
        <v>19</v>
      </c>
    </row>
    <row r="1119" spans="1:19" x14ac:dyDescent="0.25">
      <c r="A1119" s="12">
        <v>42509</v>
      </c>
      <c r="B1119" s="14" t="s">
        <v>1134</v>
      </c>
      <c r="C1119" s="14"/>
      <c r="D1119" s="14"/>
      <c r="E1119" s="1">
        <v>24</v>
      </c>
      <c r="F1119" s="1">
        <f t="shared" si="38"/>
        <v>31.5</v>
      </c>
      <c r="G1119" s="1">
        <v>27</v>
      </c>
      <c r="H1119" s="1">
        <f t="shared" si="39"/>
        <v>30.25</v>
      </c>
      <c r="I1119" s="1">
        <v>44</v>
      </c>
      <c r="J1119" s="1">
        <f t="shared" si="40"/>
        <v>40</v>
      </c>
      <c r="M1119" s="1">
        <v>7</v>
      </c>
      <c r="P1119" s="2" t="s">
        <v>551</v>
      </c>
      <c r="Q1119" s="2" t="s">
        <v>551</v>
      </c>
      <c r="R1119" s="2" t="s">
        <v>551</v>
      </c>
      <c r="S1119" s="1">
        <v>20</v>
      </c>
    </row>
    <row r="1120" spans="1:19" x14ac:dyDescent="0.25">
      <c r="A1120" s="12">
        <v>42516</v>
      </c>
      <c r="B1120" s="14" t="s">
        <v>1135</v>
      </c>
      <c r="C1120" s="14"/>
      <c r="D1120" s="14"/>
      <c r="E1120" s="1">
        <v>34</v>
      </c>
      <c r="F1120" s="1">
        <f t="shared" si="38"/>
        <v>27.75</v>
      </c>
      <c r="G1120" s="1">
        <v>28</v>
      </c>
      <c r="H1120" s="1">
        <f t="shared" si="39"/>
        <v>30</v>
      </c>
      <c r="I1120" s="1">
        <v>50</v>
      </c>
      <c r="J1120" s="1">
        <f t="shared" si="40"/>
        <v>40.75</v>
      </c>
      <c r="M1120" s="1">
        <v>8</v>
      </c>
      <c r="P1120" s="2" t="s">
        <v>551</v>
      </c>
      <c r="Q1120" s="2" t="s">
        <v>551</v>
      </c>
      <c r="R1120" s="2" t="s">
        <v>551</v>
      </c>
      <c r="S1120" s="1">
        <v>21</v>
      </c>
    </row>
    <row r="1121" spans="1:19" x14ac:dyDescent="0.25">
      <c r="A1121" s="12">
        <v>42523</v>
      </c>
      <c r="B1121" s="14" t="s">
        <v>1136</v>
      </c>
      <c r="C1121" s="14"/>
      <c r="D1121" s="14"/>
      <c r="E1121" s="1">
        <v>34</v>
      </c>
      <c r="F1121" s="1">
        <f t="shared" si="38"/>
        <v>26</v>
      </c>
      <c r="G1121" s="1">
        <v>30</v>
      </c>
      <c r="H1121" s="1">
        <f t="shared" si="39"/>
        <v>29.25</v>
      </c>
      <c r="I1121" s="1">
        <v>57</v>
      </c>
      <c r="J1121" s="1">
        <f t="shared" si="40"/>
        <v>38.75</v>
      </c>
      <c r="M1121" s="1">
        <v>10</v>
      </c>
      <c r="P1121" s="2" t="s">
        <v>551</v>
      </c>
      <c r="Q1121" s="2" t="s">
        <v>551</v>
      </c>
      <c r="R1121" s="2" t="s">
        <v>551</v>
      </c>
      <c r="S1121" s="1">
        <v>22</v>
      </c>
    </row>
    <row r="1122" spans="1:19" x14ac:dyDescent="0.25">
      <c r="A1122" s="12">
        <v>42530</v>
      </c>
      <c r="B1122" s="14" t="s">
        <v>1137</v>
      </c>
      <c r="C1122" s="14"/>
      <c r="D1122" s="14"/>
      <c r="E1122" s="1">
        <v>26</v>
      </c>
      <c r="F1122" s="1">
        <f t="shared" si="38"/>
        <v>29.75</v>
      </c>
      <c r="G1122" s="1">
        <v>37</v>
      </c>
      <c r="H1122" s="1">
        <f t="shared" si="39"/>
        <v>26.75</v>
      </c>
      <c r="I1122" s="1">
        <v>47</v>
      </c>
      <c r="J1122" s="1">
        <f t="shared" si="40"/>
        <v>38.25</v>
      </c>
      <c r="M1122" s="1">
        <v>12</v>
      </c>
      <c r="P1122" s="2" t="s">
        <v>551</v>
      </c>
      <c r="Q1122" s="2" t="s">
        <v>551</v>
      </c>
      <c r="R1122" s="2" t="s">
        <v>551</v>
      </c>
      <c r="S1122" s="1">
        <v>23</v>
      </c>
    </row>
    <row r="1123" spans="1:19" x14ac:dyDescent="0.25">
      <c r="A1123" s="12">
        <v>42537</v>
      </c>
      <c r="B1123" s="14" t="s">
        <v>1138</v>
      </c>
      <c r="C1123" s="14"/>
      <c r="D1123" s="14"/>
      <c r="E1123" s="1">
        <v>32</v>
      </c>
      <c r="F1123" s="1">
        <f t="shared" si="38"/>
        <v>20.75</v>
      </c>
      <c r="G1123" s="1">
        <v>38</v>
      </c>
      <c r="H1123" s="1">
        <f t="shared" si="39"/>
        <v>31</v>
      </c>
      <c r="I1123" s="1">
        <v>50</v>
      </c>
      <c r="J1123" s="1">
        <f t="shared" si="40"/>
        <v>41.75</v>
      </c>
      <c r="M1123" s="1">
        <v>12</v>
      </c>
      <c r="P1123" s="2" t="s">
        <v>551</v>
      </c>
      <c r="Q1123" s="2" t="s">
        <v>551</v>
      </c>
      <c r="R1123" s="2" t="s">
        <v>551</v>
      </c>
      <c r="S1123" s="1">
        <v>24</v>
      </c>
    </row>
    <row r="1124" spans="1:19" x14ac:dyDescent="0.25">
      <c r="A1124" s="12">
        <v>42544</v>
      </c>
      <c r="B1124" s="14" t="s">
        <v>1139</v>
      </c>
      <c r="C1124" s="14"/>
      <c r="D1124" s="14"/>
      <c r="E1124" s="1">
        <v>29</v>
      </c>
      <c r="F1124" s="1">
        <f t="shared" si="38"/>
        <v>24.75</v>
      </c>
      <c r="G1124" s="1">
        <v>37</v>
      </c>
      <c r="H1124" s="1">
        <f t="shared" si="39"/>
        <v>26.75</v>
      </c>
      <c r="I1124" s="1">
        <v>49</v>
      </c>
      <c r="J1124" s="1">
        <f t="shared" si="40"/>
        <v>44</v>
      </c>
      <c r="M1124" s="1">
        <v>12</v>
      </c>
      <c r="P1124" s="2" t="s">
        <v>551</v>
      </c>
      <c r="Q1124" s="2" t="s">
        <v>551</v>
      </c>
      <c r="R1124" s="2" t="s">
        <v>551</v>
      </c>
      <c r="S1124" s="1">
        <v>25</v>
      </c>
    </row>
    <row r="1125" spans="1:19" x14ac:dyDescent="0.25">
      <c r="A1125" s="12">
        <v>42551</v>
      </c>
      <c r="B1125" s="14" t="s">
        <v>1140</v>
      </c>
      <c r="C1125" s="14"/>
      <c r="D1125" s="14"/>
      <c r="E1125" s="1">
        <v>25</v>
      </c>
      <c r="F1125" s="1">
        <f t="shared" si="38"/>
        <v>25</v>
      </c>
      <c r="G1125" s="1">
        <v>32</v>
      </c>
      <c r="H1125" s="1">
        <f t="shared" si="39"/>
        <v>32.25</v>
      </c>
      <c r="I1125" s="1">
        <v>58</v>
      </c>
      <c r="J1125" s="1">
        <f t="shared" si="40"/>
        <v>46.5</v>
      </c>
      <c r="M1125" s="1">
        <v>7</v>
      </c>
      <c r="P1125" s="2" t="s">
        <v>551</v>
      </c>
      <c r="Q1125" s="2" t="s">
        <v>551</v>
      </c>
      <c r="R1125" s="2" t="s">
        <v>551</v>
      </c>
      <c r="S1125" s="1">
        <v>26</v>
      </c>
    </row>
    <row r="1126" spans="1:19" x14ac:dyDescent="0.25">
      <c r="A1126" s="12">
        <v>42558</v>
      </c>
      <c r="B1126" s="14" t="s">
        <v>1141</v>
      </c>
      <c r="C1126" s="14"/>
      <c r="D1126" s="14"/>
      <c r="E1126" s="1">
        <v>38</v>
      </c>
      <c r="F1126" s="1">
        <f t="shared" si="38"/>
        <v>25.5</v>
      </c>
      <c r="G1126" s="1">
        <v>32</v>
      </c>
      <c r="H1126" s="1">
        <f t="shared" si="39"/>
        <v>26.75</v>
      </c>
      <c r="I1126" s="1">
        <v>59</v>
      </c>
      <c r="J1126" s="1">
        <f t="shared" si="40"/>
        <v>43.75</v>
      </c>
      <c r="M1126" s="1">
        <v>8</v>
      </c>
      <c r="P1126" s="2" t="s">
        <v>551</v>
      </c>
      <c r="Q1126" s="2" t="s">
        <v>551</v>
      </c>
      <c r="R1126" s="2" t="s">
        <v>551</v>
      </c>
      <c r="S1126" s="1">
        <v>27</v>
      </c>
    </row>
    <row r="1127" spans="1:19" x14ac:dyDescent="0.25">
      <c r="A1127" s="12">
        <v>42565</v>
      </c>
      <c r="B1127" s="14" t="s">
        <v>1142</v>
      </c>
      <c r="C1127" s="14"/>
      <c r="D1127" s="14"/>
      <c r="E1127" s="1">
        <v>37</v>
      </c>
      <c r="F1127" s="1">
        <f t="shared" si="38"/>
        <v>28.5</v>
      </c>
      <c r="G1127" s="1">
        <v>41</v>
      </c>
      <c r="H1127" s="1">
        <f t="shared" si="39"/>
        <v>28</v>
      </c>
      <c r="I1127" s="1">
        <v>71</v>
      </c>
      <c r="J1127" s="1">
        <f t="shared" si="40"/>
        <v>43</v>
      </c>
      <c r="M1127" s="1">
        <v>8</v>
      </c>
      <c r="P1127" s="2" t="s">
        <v>551</v>
      </c>
      <c r="Q1127" s="2" t="s">
        <v>551</v>
      </c>
      <c r="R1127" s="2" t="s">
        <v>551</v>
      </c>
      <c r="S1127" s="1">
        <v>28</v>
      </c>
    </row>
    <row r="1128" spans="1:19" x14ac:dyDescent="0.25">
      <c r="A1128" s="12">
        <v>42572</v>
      </c>
      <c r="B1128" s="14" t="s">
        <v>1143</v>
      </c>
      <c r="C1128" s="14"/>
      <c r="D1128" s="14"/>
      <c r="E1128" s="1">
        <v>54</v>
      </c>
      <c r="F1128" s="1">
        <f t="shared" si="38"/>
        <v>34.25</v>
      </c>
      <c r="G1128" s="1">
        <v>36</v>
      </c>
      <c r="H1128" s="1">
        <f t="shared" si="39"/>
        <v>29.25</v>
      </c>
      <c r="I1128" s="1">
        <v>62</v>
      </c>
      <c r="J1128" s="1">
        <f t="shared" si="40"/>
        <v>46.5</v>
      </c>
      <c r="M1128" s="1">
        <v>12</v>
      </c>
      <c r="P1128" s="2" t="s">
        <v>551</v>
      </c>
      <c r="Q1128" s="2" t="s">
        <v>551</v>
      </c>
      <c r="R1128" s="2" t="s">
        <v>551</v>
      </c>
      <c r="S1128" s="1">
        <v>29</v>
      </c>
    </row>
    <row r="1129" spans="1:19" x14ac:dyDescent="0.25">
      <c r="A1129" s="12">
        <v>42579</v>
      </c>
      <c r="B1129" s="14" t="s">
        <v>1144</v>
      </c>
      <c r="C1129" s="14"/>
      <c r="D1129" s="14"/>
      <c r="E1129" s="1">
        <v>54</v>
      </c>
      <c r="F1129" s="1">
        <f t="shared" si="38"/>
        <v>31.5</v>
      </c>
      <c r="G1129" s="1">
        <v>36</v>
      </c>
      <c r="H1129" s="1">
        <f t="shared" si="39"/>
        <v>33.25</v>
      </c>
      <c r="I1129" s="1">
        <v>61</v>
      </c>
      <c r="J1129" s="1">
        <f t="shared" si="40"/>
        <v>46.25</v>
      </c>
      <c r="M1129" s="1">
        <v>18</v>
      </c>
      <c r="P1129" s="2" t="s">
        <v>551</v>
      </c>
      <c r="Q1129" s="2" t="s">
        <v>551</v>
      </c>
      <c r="R1129" s="2" t="s">
        <v>551</v>
      </c>
      <c r="S1129" s="1">
        <v>30</v>
      </c>
    </row>
    <row r="1130" spans="1:19" x14ac:dyDescent="0.25">
      <c r="A1130" s="12">
        <v>42586</v>
      </c>
      <c r="B1130" s="14" t="s">
        <v>1145</v>
      </c>
      <c r="C1130" s="14"/>
      <c r="D1130" s="14"/>
      <c r="E1130" s="1">
        <v>57</v>
      </c>
      <c r="F1130" s="1">
        <f t="shared" si="38"/>
        <v>30.75</v>
      </c>
      <c r="G1130" s="1">
        <v>37</v>
      </c>
      <c r="H1130" s="1">
        <f t="shared" si="39"/>
        <v>35.5</v>
      </c>
      <c r="I1130" s="1">
        <v>62</v>
      </c>
      <c r="J1130" s="1">
        <f t="shared" si="40"/>
        <v>53.5</v>
      </c>
      <c r="M1130" s="1">
        <v>18</v>
      </c>
      <c r="P1130" s="2" t="s">
        <v>551</v>
      </c>
      <c r="Q1130" s="2" t="s">
        <v>551</v>
      </c>
      <c r="R1130" s="2" t="s">
        <v>551</v>
      </c>
      <c r="S1130" s="1">
        <v>31</v>
      </c>
    </row>
    <row r="1131" spans="1:19" x14ac:dyDescent="0.25">
      <c r="A1131" s="12">
        <v>42593</v>
      </c>
      <c r="B1131" s="14" t="s">
        <v>1146</v>
      </c>
      <c r="C1131" s="14"/>
      <c r="D1131" s="14"/>
      <c r="E1131" s="1">
        <v>49</v>
      </c>
      <c r="F1131" s="1">
        <f t="shared" si="38"/>
        <v>28.75</v>
      </c>
      <c r="G1131" s="1">
        <v>48</v>
      </c>
      <c r="H1131" s="1">
        <f t="shared" si="39"/>
        <v>34.25</v>
      </c>
      <c r="I1131" s="1">
        <v>79</v>
      </c>
      <c r="J1131" s="1">
        <f t="shared" si="40"/>
        <v>49</v>
      </c>
      <c r="M1131" s="1">
        <v>17</v>
      </c>
      <c r="P1131" s="2" t="s">
        <v>551</v>
      </c>
      <c r="Q1131" s="2" t="s">
        <v>551</v>
      </c>
      <c r="R1131" s="2" t="s">
        <v>551</v>
      </c>
      <c r="S1131" s="1">
        <v>32</v>
      </c>
    </row>
    <row r="1132" spans="1:19" x14ac:dyDescent="0.25">
      <c r="A1132" s="12">
        <v>42600</v>
      </c>
      <c r="B1132" s="14" t="s">
        <v>1147</v>
      </c>
      <c r="C1132" s="14"/>
      <c r="D1132" s="14"/>
      <c r="E1132" s="1">
        <v>56</v>
      </c>
      <c r="F1132" s="1">
        <f t="shared" si="38"/>
        <v>28.25</v>
      </c>
      <c r="G1132" s="1">
        <v>39</v>
      </c>
      <c r="H1132" s="1">
        <f t="shared" si="39"/>
        <v>31</v>
      </c>
      <c r="I1132" s="1">
        <v>87</v>
      </c>
      <c r="J1132" s="1">
        <f t="shared" si="40"/>
        <v>45.25</v>
      </c>
      <c r="M1132" s="1">
        <v>13</v>
      </c>
      <c r="P1132" s="2" t="s">
        <v>551</v>
      </c>
      <c r="Q1132" s="2" t="s">
        <v>551</v>
      </c>
      <c r="R1132" s="2" t="s">
        <v>551</v>
      </c>
      <c r="S1132" s="1">
        <v>33</v>
      </c>
    </row>
    <row r="1133" spans="1:19" x14ac:dyDescent="0.25">
      <c r="A1133" s="12">
        <v>42607</v>
      </c>
      <c r="B1133" s="14" t="s">
        <v>1148</v>
      </c>
      <c r="C1133" s="14"/>
      <c r="D1133" s="14"/>
      <c r="E1133" s="1">
        <v>53</v>
      </c>
      <c r="F1133" s="1">
        <f t="shared" si="38"/>
        <v>28</v>
      </c>
      <c r="G1133" s="1">
        <v>49</v>
      </c>
      <c r="H1133" s="1">
        <f t="shared" si="39"/>
        <v>28.75</v>
      </c>
      <c r="I1133" s="1">
        <v>72</v>
      </c>
      <c r="J1133" s="1">
        <f t="shared" si="40"/>
        <v>49.5</v>
      </c>
      <c r="M1133" s="1">
        <v>16</v>
      </c>
      <c r="P1133" s="2" t="s">
        <v>551</v>
      </c>
      <c r="Q1133" s="2" t="s">
        <v>551</v>
      </c>
      <c r="R1133" s="2" t="s">
        <v>551</v>
      </c>
      <c r="S1133" s="1">
        <v>34</v>
      </c>
    </row>
    <row r="1134" spans="1:19" x14ac:dyDescent="0.25">
      <c r="A1134" s="12">
        <v>42614</v>
      </c>
      <c r="B1134" s="14" t="s">
        <v>1149</v>
      </c>
      <c r="C1134" s="14"/>
      <c r="D1134" s="14"/>
      <c r="E1134" s="1">
        <v>47</v>
      </c>
      <c r="F1134" s="1">
        <f t="shared" si="38"/>
        <v>30</v>
      </c>
      <c r="G1134" s="1">
        <v>51</v>
      </c>
      <c r="H1134" s="1">
        <f t="shared" si="39"/>
        <v>28.5</v>
      </c>
      <c r="I1134" s="1">
        <v>65</v>
      </c>
      <c r="J1134" s="1">
        <f t="shared" si="40"/>
        <v>59.25</v>
      </c>
      <c r="M1134" s="1">
        <v>8</v>
      </c>
      <c r="P1134" s="2" t="s">
        <v>551</v>
      </c>
      <c r="Q1134" s="2" t="s">
        <v>551</v>
      </c>
      <c r="R1134" s="2" t="s">
        <v>551</v>
      </c>
      <c r="S1134" s="1">
        <v>35</v>
      </c>
    </row>
    <row r="1135" spans="1:19" x14ac:dyDescent="0.25">
      <c r="A1135" s="12">
        <v>42621</v>
      </c>
      <c r="B1135" s="14" t="s">
        <v>1150</v>
      </c>
      <c r="C1135" s="14"/>
      <c r="D1135" s="14"/>
      <c r="E1135" s="1">
        <v>41</v>
      </c>
      <c r="F1135" s="1">
        <f t="shared" si="38"/>
        <v>32.5</v>
      </c>
      <c r="G1135" s="1">
        <v>48</v>
      </c>
      <c r="H1135" s="1">
        <f t="shared" si="39"/>
        <v>34.75</v>
      </c>
      <c r="I1135" s="1">
        <v>63</v>
      </c>
      <c r="J1135" s="1">
        <f t="shared" si="40"/>
        <v>61</v>
      </c>
      <c r="M1135" s="1">
        <v>7</v>
      </c>
      <c r="P1135" s="2" t="s">
        <v>551</v>
      </c>
      <c r="Q1135" s="2" t="s">
        <v>551</v>
      </c>
      <c r="R1135" s="2" t="s">
        <v>551</v>
      </c>
      <c r="S1135" s="1">
        <v>36</v>
      </c>
    </row>
    <row r="1136" spans="1:19" x14ac:dyDescent="0.25">
      <c r="A1136" s="12">
        <v>42628</v>
      </c>
      <c r="B1136" s="14" t="s">
        <v>1151</v>
      </c>
      <c r="C1136" s="14"/>
      <c r="D1136" s="14"/>
      <c r="E1136" s="1">
        <v>39</v>
      </c>
      <c r="F1136" s="1">
        <f t="shared" si="38"/>
        <v>35</v>
      </c>
      <c r="G1136" s="1">
        <v>46</v>
      </c>
      <c r="H1136" s="1">
        <f t="shared" si="39"/>
        <v>37</v>
      </c>
      <c r="I1136" s="1">
        <v>69</v>
      </c>
      <c r="J1136" s="1">
        <f t="shared" si="40"/>
        <v>59.25</v>
      </c>
      <c r="M1136" s="1">
        <v>8</v>
      </c>
      <c r="P1136" s="2" t="s">
        <v>551</v>
      </c>
      <c r="Q1136" s="2" t="s">
        <v>551</v>
      </c>
      <c r="R1136" s="2" t="s">
        <v>551</v>
      </c>
      <c r="S1136" s="1">
        <v>37</v>
      </c>
    </row>
    <row r="1137" spans="1:19" x14ac:dyDescent="0.25">
      <c r="A1137" s="12">
        <v>42635</v>
      </c>
      <c r="B1137" s="14" t="s">
        <v>1152</v>
      </c>
      <c r="C1137" s="14"/>
      <c r="D1137" s="14"/>
      <c r="E1137" s="1">
        <v>52</v>
      </c>
      <c r="F1137" s="1">
        <f t="shared" si="38"/>
        <v>41.75</v>
      </c>
      <c r="G1137" s="1">
        <v>38</v>
      </c>
      <c r="H1137" s="1">
        <f t="shared" si="39"/>
        <v>39.75</v>
      </c>
      <c r="I1137" s="1">
        <v>67</v>
      </c>
      <c r="J1137" s="1">
        <f t="shared" si="40"/>
        <v>57</v>
      </c>
      <c r="M1137" s="1">
        <v>13</v>
      </c>
      <c r="P1137" s="2" t="s">
        <v>551</v>
      </c>
      <c r="Q1137" s="2" t="s">
        <v>551</v>
      </c>
      <c r="R1137" s="2" t="s">
        <v>551</v>
      </c>
      <c r="S1137" s="1">
        <v>38</v>
      </c>
    </row>
    <row r="1138" spans="1:19" x14ac:dyDescent="0.25">
      <c r="A1138" s="12">
        <v>42642</v>
      </c>
      <c r="B1138" s="14" t="s">
        <v>1153</v>
      </c>
      <c r="C1138" s="14"/>
      <c r="D1138" s="14"/>
      <c r="E1138" s="1">
        <v>53</v>
      </c>
      <c r="F1138" s="1">
        <f t="shared" si="38"/>
        <v>47.75</v>
      </c>
      <c r="G1138" s="1">
        <v>42</v>
      </c>
      <c r="H1138" s="1">
        <f t="shared" si="39"/>
        <v>38.75</v>
      </c>
      <c r="I1138" s="1">
        <v>77</v>
      </c>
      <c r="J1138" s="1">
        <f t="shared" si="40"/>
        <v>60.25</v>
      </c>
      <c r="M1138" s="1">
        <v>14</v>
      </c>
      <c r="P1138" s="2" t="s">
        <v>551</v>
      </c>
      <c r="Q1138" s="2" t="s">
        <v>551</v>
      </c>
      <c r="R1138" s="2" t="s">
        <v>551</v>
      </c>
      <c r="S1138" s="1">
        <v>39</v>
      </c>
    </row>
    <row r="1139" spans="1:19" x14ac:dyDescent="0.25">
      <c r="A1139" s="12">
        <v>42649</v>
      </c>
      <c r="B1139" s="14" t="s">
        <v>1154</v>
      </c>
      <c r="C1139" s="14"/>
      <c r="D1139" s="14"/>
      <c r="E1139" s="1">
        <v>54</v>
      </c>
      <c r="F1139" s="1">
        <f t="shared" si="38"/>
        <v>45.5</v>
      </c>
      <c r="G1139" s="1">
        <v>49</v>
      </c>
      <c r="H1139" s="1">
        <f t="shared" si="39"/>
        <v>42.75</v>
      </c>
      <c r="I1139" s="1">
        <v>77</v>
      </c>
      <c r="J1139" s="1">
        <f t="shared" si="40"/>
        <v>74.75</v>
      </c>
      <c r="M1139" s="1">
        <v>13</v>
      </c>
      <c r="P1139" s="2" t="s">
        <v>551</v>
      </c>
      <c r="Q1139" s="2" t="s">
        <v>551</v>
      </c>
      <c r="R1139" s="2" t="s">
        <v>551</v>
      </c>
      <c r="S1139" s="1">
        <v>40</v>
      </c>
    </row>
    <row r="1140" spans="1:19" x14ac:dyDescent="0.25">
      <c r="A1140" s="12">
        <v>42656</v>
      </c>
      <c r="B1140" s="14" t="s">
        <v>1155</v>
      </c>
      <c r="C1140" s="14"/>
      <c r="D1140" s="14"/>
      <c r="E1140" s="1">
        <v>57</v>
      </c>
      <c r="F1140" s="1">
        <f t="shared" si="38"/>
        <v>49.75</v>
      </c>
      <c r="G1140" s="1">
        <v>50</v>
      </c>
      <c r="H1140" s="1">
        <f t="shared" si="39"/>
        <v>46.25</v>
      </c>
      <c r="I1140" s="1">
        <v>75</v>
      </c>
      <c r="J1140" s="1">
        <f t="shared" si="40"/>
        <v>64.75</v>
      </c>
      <c r="M1140" s="1">
        <v>15</v>
      </c>
      <c r="P1140" s="2" t="s">
        <v>551</v>
      </c>
      <c r="Q1140" s="2" t="s">
        <v>551</v>
      </c>
      <c r="R1140" s="2" t="s">
        <v>551</v>
      </c>
      <c r="S1140" s="1">
        <v>41</v>
      </c>
    </row>
    <row r="1141" spans="1:19" x14ac:dyDescent="0.25">
      <c r="A1141" s="12">
        <v>42663</v>
      </c>
      <c r="B1141" s="14" t="s">
        <v>1156</v>
      </c>
      <c r="C1141" s="14"/>
      <c r="D1141" s="14"/>
      <c r="E1141" s="1">
        <v>57</v>
      </c>
      <c r="F1141" s="1">
        <f t="shared" si="38"/>
        <v>53</v>
      </c>
      <c r="G1141" s="1">
        <v>51</v>
      </c>
      <c r="H1141" s="1">
        <f t="shared" si="39"/>
        <v>42</v>
      </c>
      <c r="I1141" s="1">
        <v>71</v>
      </c>
      <c r="J1141" s="1">
        <f t="shared" si="40"/>
        <v>59.5</v>
      </c>
      <c r="M1141" s="1">
        <v>24</v>
      </c>
      <c r="P1141" s="2" t="s">
        <v>551</v>
      </c>
      <c r="Q1141" s="2" t="s">
        <v>551</v>
      </c>
      <c r="R1141" s="2" t="s">
        <v>551</v>
      </c>
      <c r="S1141" s="1">
        <v>42</v>
      </c>
    </row>
    <row r="1142" spans="1:19" x14ac:dyDescent="0.25">
      <c r="A1142" s="12">
        <v>42670</v>
      </c>
      <c r="B1142" s="14" t="s">
        <v>1157</v>
      </c>
      <c r="C1142" s="14"/>
      <c r="D1142" s="14"/>
      <c r="E1142" s="1">
        <v>50</v>
      </c>
      <c r="F1142" s="1">
        <f t="shared" si="38"/>
        <v>43.75</v>
      </c>
      <c r="G1142" s="1">
        <v>43</v>
      </c>
      <c r="H1142" s="1">
        <f t="shared" si="39"/>
        <v>41.75</v>
      </c>
      <c r="I1142" s="1">
        <v>77</v>
      </c>
      <c r="J1142" s="1">
        <f t="shared" si="40"/>
        <v>69</v>
      </c>
      <c r="M1142" s="1">
        <v>11</v>
      </c>
      <c r="P1142" s="2" t="s">
        <v>551</v>
      </c>
      <c r="Q1142" s="2" t="s">
        <v>551</v>
      </c>
      <c r="R1142" s="2" t="s">
        <v>551</v>
      </c>
      <c r="S1142" s="1">
        <v>43</v>
      </c>
    </row>
    <row r="1143" spans="1:19" x14ac:dyDescent="0.25">
      <c r="A1143" s="12">
        <v>42677</v>
      </c>
      <c r="B1143" s="14" t="s">
        <v>1158</v>
      </c>
      <c r="C1143" s="14"/>
      <c r="D1143" s="14"/>
      <c r="E1143" s="1">
        <v>52</v>
      </c>
      <c r="F1143" s="1">
        <f t="shared" si="38"/>
        <v>49</v>
      </c>
      <c r="G1143" s="1">
        <v>55</v>
      </c>
      <c r="H1143" s="1">
        <f t="shared" si="39"/>
        <v>43.75</v>
      </c>
      <c r="I1143" s="1">
        <v>71</v>
      </c>
      <c r="J1143" s="1">
        <f t="shared" si="40"/>
        <v>66.5</v>
      </c>
      <c r="M1143" s="1">
        <v>14</v>
      </c>
      <c r="P1143" s="2" t="s">
        <v>551</v>
      </c>
      <c r="Q1143" s="2" t="s">
        <v>551</v>
      </c>
      <c r="R1143" s="2" t="s">
        <v>551</v>
      </c>
      <c r="S1143" s="1">
        <v>44</v>
      </c>
    </row>
    <row r="1144" spans="1:19" x14ac:dyDescent="0.25">
      <c r="A1144" s="12">
        <v>42684</v>
      </c>
      <c r="B1144" s="14" t="s">
        <v>1159</v>
      </c>
      <c r="C1144" s="14"/>
      <c r="D1144" s="14"/>
      <c r="E1144" s="1">
        <v>37</v>
      </c>
      <c r="F1144" s="1">
        <f t="shared" si="38"/>
        <v>46</v>
      </c>
      <c r="G1144" s="1">
        <v>51</v>
      </c>
      <c r="H1144" s="1">
        <f t="shared" si="39"/>
        <v>47.75</v>
      </c>
      <c r="I1144" s="1">
        <v>80</v>
      </c>
      <c r="J1144" s="1">
        <f t="shared" si="40"/>
        <v>62.5</v>
      </c>
      <c r="M1144" s="1">
        <v>17</v>
      </c>
      <c r="P1144" s="2" t="s">
        <v>551</v>
      </c>
      <c r="Q1144" s="2" t="s">
        <v>551</v>
      </c>
      <c r="R1144" s="2" t="s">
        <v>551</v>
      </c>
      <c r="S1144" s="1">
        <v>45</v>
      </c>
    </row>
    <row r="1145" spans="1:19" x14ac:dyDescent="0.25">
      <c r="A1145" s="12">
        <v>42691</v>
      </c>
      <c r="B1145" s="14" t="s">
        <v>1160</v>
      </c>
      <c r="C1145" s="14"/>
      <c r="D1145" s="14"/>
      <c r="E1145" s="1">
        <v>52</v>
      </c>
      <c r="F1145" s="1">
        <f t="shared" si="38"/>
        <v>45.5</v>
      </c>
      <c r="G1145" s="1">
        <v>46</v>
      </c>
      <c r="H1145" s="1">
        <f t="shared" si="39"/>
        <v>43.25</v>
      </c>
      <c r="I1145" s="1">
        <v>73</v>
      </c>
      <c r="J1145" s="1">
        <f t="shared" si="40"/>
        <v>61</v>
      </c>
      <c r="M1145" s="1">
        <v>19</v>
      </c>
      <c r="P1145" s="2" t="s">
        <v>551</v>
      </c>
      <c r="Q1145" s="2" t="s">
        <v>551</v>
      </c>
      <c r="R1145" s="2" t="s">
        <v>551</v>
      </c>
      <c r="S1145" s="1">
        <v>46</v>
      </c>
    </row>
    <row r="1146" spans="1:19" x14ac:dyDescent="0.25">
      <c r="A1146" s="12">
        <v>42698</v>
      </c>
      <c r="B1146" s="14" t="s">
        <v>1161</v>
      </c>
      <c r="C1146" s="14"/>
      <c r="D1146" s="14"/>
      <c r="E1146" s="1">
        <v>39</v>
      </c>
      <c r="F1146" s="1">
        <f t="shared" si="38"/>
        <v>42.25</v>
      </c>
      <c r="G1146" s="1">
        <v>51</v>
      </c>
      <c r="H1146" s="1">
        <f t="shared" si="39"/>
        <v>44.25</v>
      </c>
      <c r="I1146" s="1">
        <v>79</v>
      </c>
      <c r="J1146" s="1">
        <f t="shared" si="40"/>
        <v>65</v>
      </c>
      <c r="M1146" s="2" t="s">
        <v>551</v>
      </c>
      <c r="P1146" s="2" t="s">
        <v>551</v>
      </c>
      <c r="Q1146" s="2" t="s">
        <v>551</v>
      </c>
      <c r="R1146" s="2" t="s">
        <v>551</v>
      </c>
      <c r="S1146" s="1">
        <v>47</v>
      </c>
    </row>
    <row r="1147" spans="1:19" x14ac:dyDescent="0.25">
      <c r="A1147" s="12">
        <v>42705</v>
      </c>
      <c r="B1147" s="14" t="s">
        <v>1162</v>
      </c>
      <c r="C1147" s="14"/>
      <c r="D1147" s="14"/>
      <c r="E1147" s="1">
        <v>47</v>
      </c>
      <c r="F1147" s="1">
        <f t="shared" si="38"/>
        <v>44.75</v>
      </c>
      <c r="G1147" s="1">
        <v>50</v>
      </c>
      <c r="H1147" s="1">
        <f t="shared" si="39"/>
        <v>43.25</v>
      </c>
      <c r="I1147" s="1">
        <v>75</v>
      </c>
      <c r="J1147" s="1">
        <f t="shared" si="40"/>
        <v>60.75</v>
      </c>
      <c r="M1147" s="1">
        <v>27</v>
      </c>
      <c r="P1147" s="2" t="s">
        <v>551</v>
      </c>
      <c r="Q1147" s="2" t="s">
        <v>551</v>
      </c>
      <c r="R1147" s="2" t="s">
        <v>551</v>
      </c>
      <c r="S1147" s="1">
        <v>48</v>
      </c>
    </row>
    <row r="1148" spans="1:19" x14ac:dyDescent="0.25">
      <c r="A1148" s="12">
        <v>42712</v>
      </c>
      <c r="B1148" s="14" t="s">
        <v>1163</v>
      </c>
      <c r="C1148" s="14"/>
      <c r="D1148" s="14"/>
      <c r="E1148" s="1">
        <v>38</v>
      </c>
      <c r="F1148" s="1">
        <f t="shared" si="38"/>
        <v>43.75</v>
      </c>
      <c r="G1148" s="1">
        <v>45</v>
      </c>
      <c r="H1148" s="1">
        <f t="shared" si="39"/>
        <v>42.5</v>
      </c>
      <c r="I1148" s="1">
        <v>83</v>
      </c>
      <c r="J1148" s="1">
        <f t="shared" si="40"/>
        <v>66.75</v>
      </c>
      <c r="M1148" s="1">
        <v>24</v>
      </c>
      <c r="P1148" s="2" t="s">
        <v>551</v>
      </c>
      <c r="Q1148" s="2" t="s">
        <v>551</v>
      </c>
      <c r="R1148" s="2" t="s">
        <v>551</v>
      </c>
      <c r="S1148" s="1">
        <v>49</v>
      </c>
    </row>
    <row r="1149" spans="1:19" x14ac:dyDescent="0.25">
      <c r="A1149" s="12">
        <v>42719</v>
      </c>
      <c r="B1149" s="14" t="s">
        <v>1164</v>
      </c>
      <c r="C1149" s="14"/>
      <c r="D1149" s="14"/>
      <c r="E1149" s="1">
        <v>54</v>
      </c>
      <c r="F1149" s="1">
        <f t="shared" si="38"/>
        <v>41.75</v>
      </c>
      <c r="G1149" s="1">
        <v>49</v>
      </c>
      <c r="H1149" s="1">
        <f t="shared" si="39"/>
        <v>39.75</v>
      </c>
      <c r="I1149" s="1">
        <v>73</v>
      </c>
      <c r="J1149" s="1">
        <f t="shared" si="40"/>
        <v>62</v>
      </c>
      <c r="M1149" s="1">
        <v>25</v>
      </c>
      <c r="P1149" s="2" t="s">
        <v>551</v>
      </c>
      <c r="Q1149" s="2" t="s">
        <v>551</v>
      </c>
      <c r="R1149" s="2" t="s">
        <v>551</v>
      </c>
      <c r="S1149" s="1">
        <v>50</v>
      </c>
    </row>
    <row r="1150" spans="1:19" x14ac:dyDescent="0.25">
      <c r="A1150" s="12">
        <v>42726</v>
      </c>
      <c r="B1150" s="14" t="s">
        <v>1165</v>
      </c>
      <c r="C1150" s="14"/>
      <c r="D1150" s="14"/>
      <c r="E1150" s="1">
        <v>53</v>
      </c>
      <c r="F1150" s="1">
        <f t="shared" si="38"/>
        <v>41.25</v>
      </c>
      <c r="G1150" s="1">
        <v>47</v>
      </c>
      <c r="H1150" s="1">
        <f t="shared" si="39"/>
        <v>35</v>
      </c>
      <c r="I1150" s="1">
        <v>64</v>
      </c>
      <c r="J1150" s="1">
        <f t="shared" si="40"/>
        <v>56</v>
      </c>
      <c r="M1150" s="1">
        <v>26</v>
      </c>
      <c r="P1150" s="2" t="s">
        <v>551</v>
      </c>
      <c r="Q1150" s="2" t="s">
        <v>551</v>
      </c>
      <c r="R1150" s="2" t="s">
        <v>551</v>
      </c>
      <c r="S1150" s="1">
        <v>51</v>
      </c>
    </row>
    <row r="1151" spans="1:19" x14ac:dyDescent="0.25">
      <c r="A1151" s="12">
        <v>42733</v>
      </c>
      <c r="B1151" s="14" t="s">
        <v>1166</v>
      </c>
      <c r="C1151" s="14"/>
      <c r="D1151" s="14"/>
      <c r="E1151" s="1">
        <v>45</v>
      </c>
      <c r="F1151" s="1">
        <f t="shared" si="38"/>
        <v>43.25</v>
      </c>
      <c r="G1151" s="1">
        <v>45</v>
      </c>
      <c r="H1151" s="1">
        <f t="shared" si="39"/>
        <v>36</v>
      </c>
      <c r="I1151" s="1">
        <v>78</v>
      </c>
      <c r="J1151" s="1">
        <f t="shared" si="40"/>
        <v>63</v>
      </c>
      <c r="M1151" s="1">
        <v>24</v>
      </c>
      <c r="P1151" s="2" t="s">
        <v>551</v>
      </c>
      <c r="Q1151" s="2" t="s">
        <v>551</v>
      </c>
      <c r="R1151" s="2" t="s">
        <v>551</v>
      </c>
      <c r="S1151" s="1">
        <v>52</v>
      </c>
    </row>
    <row r="1152" spans="1:19" x14ac:dyDescent="0.25">
      <c r="A1152" s="12">
        <v>42740</v>
      </c>
      <c r="B1152" s="14" t="s">
        <v>1167</v>
      </c>
      <c r="C1152" s="14"/>
      <c r="D1152" s="14"/>
      <c r="E1152" s="1">
        <v>49</v>
      </c>
      <c r="F1152" s="1">
        <f t="shared" si="38"/>
        <v>40.25</v>
      </c>
      <c r="G1152" s="1">
        <v>40</v>
      </c>
      <c r="H1152" s="1">
        <f t="shared" si="39"/>
        <v>37.75</v>
      </c>
      <c r="I1152" s="1">
        <v>78</v>
      </c>
      <c r="J1152" s="1">
        <f t="shared" si="40"/>
        <v>64.25</v>
      </c>
      <c r="M1152" s="1">
        <v>22</v>
      </c>
      <c r="P1152" s="2" t="s">
        <v>551</v>
      </c>
      <c r="Q1152" s="2" t="s">
        <v>551</v>
      </c>
      <c r="R1152" s="2" t="s">
        <v>551</v>
      </c>
      <c r="S1152" s="1">
        <v>1</v>
      </c>
    </row>
    <row r="1153" spans="1:19" x14ac:dyDescent="0.25">
      <c r="A1153" s="12">
        <v>42747</v>
      </c>
      <c r="B1153" s="14" t="s">
        <v>1168</v>
      </c>
      <c r="C1153" s="14"/>
      <c r="D1153" s="14"/>
      <c r="E1153" s="1">
        <v>54</v>
      </c>
      <c r="F1153" s="1">
        <f t="shared" si="38"/>
        <v>46.75</v>
      </c>
      <c r="G1153" s="1">
        <v>43</v>
      </c>
      <c r="H1153" s="1">
        <f t="shared" si="39"/>
        <v>40</v>
      </c>
      <c r="I1153" s="1">
        <v>87</v>
      </c>
      <c r="J1153" s="1">
        <f t="shared" si="40"/>
        <v>70.5</v>
      </c>
      <c r="M1153" s="1">
        <v>26</v>
      </c>
      <c r="P1153" s="2" t="s">
        <v>551</v>
      </c>
      <c r="Q1153" s="2" t="s">
        <v>551</v>
      </c>
      <c r="R1153" s="2" t="s">
        <v>551</v>
      </c>
      <c r="S1153" s="1">
        <v>2</v>
      </c>
    </row>
    <row r="1154" spans="1:19" x14ac:dyDescent="0.25">
      <c r="A1154" s="12">
        <v>42754</v>
      </c>
      <c r="B1154" s="14" t="s">
        <v>1169</v>
      </c>
      <c r="C1154" s="14"/>
      <c r="D1154" s="14"/>
      <c r="E1154" s="1">
        <v>64</v>
      </c>
      <c r="F1154" s="1">
        <f t="shared" si="38"/>
        <v>50.75</v>
      </c>
      <c r="G1154" s="1">
        <v>43</v>
      </c>
      <c r="H1154" s="1">
        <f t="shared" si="39"/>
        <v>42.25</v>
      </c>
      <c r="I1154" s="1">
        <v>74</v>
      </c>
      <c r="J1154" s="1">
        <f t="shared" si="40"/>
        <v>64</v>
      </c>
      <c r="M1154" s="1">
        <v>28</v>
      </c>
      <c r="P1154" s="2" t="s">
        <v>551</v>
      </c>
      <c r="Q1154" s="2" t="s">
        <v>551</v>
      </c>
      <c r="R1154" s="2" t="s">
        <v>551</v>
      </c>
      <c r="S1154" s="1">
        <v>3</v>
      </c>
    </row>
    <row r="1155" spans="1:19" x14ac:dyDescent="0.25">
      <c r="A1155" s="12">
        <v>42761</v>
      </c>
      <c r="B1155" s="14" t="s">
        <v>1170</v>
      </c>
      <c r="C1155" s="14"/>
      <c r="D1155" s="14"/>
      <c r="E1155" s="1">
        <v>65</v>
      </c>
      <c r="F1155" s="1">
        <f t="shared" si="38"/>
        <v>51.25</v>
      </c>
      <c r="G1155" s="1">
        <v>45</v>
      </c>
      <c r="H1155" s="1">
        <f t="shared" si="39"/>
        <v>37.25</v>
      </c>
      <c r="I1155" s="1">
        <v>67</v>
      </c>
      <c r="J1155" s="1">
        <f t="shared" si="40"/>
        <v>68.5</v>
      </c>
      <c r="M1155" s="1">
        <v>37</v>
      </c>
      <c r="P1155" s="2" t="s">
        <v>551</v>
      </c>
      <c r="Q1155" s="2" t="s">
        <v>551</v>
      </c>
      <c r="R1155" s="2" t="s">
        <v>551</v>
      </c>
      <c r="S1155" s="1">
        <v>4</v>
      </c>
    </row>
    <row r="1156" spans="1:19" x14ac:dyDescent="0.25">
      <c r="A1156" s="12">
        <v>42768</v>
      </c>
      <c r="B1156" s="14" t="s">
        <v>1171</v>
      </c>
      <c r="C1156" s="14"/>
      <c r="D1156" s="14"/>
      <c r="E1156" s="1">
        <v>66</v>
      </c>
      <c r="F1156" s="1">
        <f t="shared" si="38"/>
        <v>52.5</v>
      </c>
      <c r="G1156" s="1">
        <v>47</v>
      </c>
      <c r="H1156" s="1">
        <f t="shared" si="39"/>
        <v>37.5</v>
      </c>
      <c r="I1156" s="1">
        <v>65</v>
      </c>
      <c r="J1156" s="1">
        <f t="shared" si="40"/>
        <v>65.5</v>
      </c>
      <c r="M1156" s="1">
        <v>34</v>
      </c>
      <c r="P1156" s="2" t="s">
        <v>551</v>
      </c>
      <c r="Q1156" s="2" t="s">
        <v>551</v>
      </c>
      <c r="R1156" s="2" t="s">
        <v>551</v>
      </c>
      <c r="S1156" s="1">
        <v>5</v>
      </c>
    </row>
    <row r="1157" spans="1:19" x14ac:dyDescent="0.25">
      <c r="A1157" s="12">
        <v>42775</v>
      </c>
      <c r="B1157" s="14" t="s">
        <v>1172</v>
      </c>
      <c r="C1157" s="14"/>
      <c r="D1157" s="14"/>
      <c r="E1157" s="1">
        <v>58</v>
      </c>
      <c r="F1157" s="1">
        <f t="shared" si="38"/>
        <v>52.75</v>
      </c>
      <c r="G1157" s="1">
        <v>54</v>
      </c>
      <c r="H1157" s="1">
        <f t="shared" si="39"/>
        <v>41.75</v>
      </c>
      <c r="I1157" s="1">
        <v>65</v>
      </c>
      <c r="J1157" s="1">
        <f t="shared" si="40"/>
        <v>59.75</v>
      </c>
      <c r="M1157" s="1">
        <v>38</v>
      </c>
      <c r="P1157" s="2" t="s">
        <v>551</v>
      </c>
      <c r="Q1157" s="2" t="s">
        <v>551</v>
      </c>
      <c r="R1157" s="2" t="s">
        <v>551</v>
      </c>
      <c r="S1157" s="1">
        <v>6</v>
      </c>
    </row>
    <row r="1158" spans="1:19" x14ac:dyDescent="0.25">
      <c r="A1158" s="12">
        <v>42782</v>
      </c>
      <c r="B1158" s="14" t="s">
        <v>1173</v>
      </c>
      <c r="C1158" s="14"/>
      <c r="D1158" s="14"/>
      <c r="E1158" s="1">
        <v>58</v>
      </c>
      <c r="F1158" s="1">
        <f t="shared" si="38"/>
        <v>51.25</v>
      </c>
      <c r="G1158" s="1">
        <v>43</v>
      </c>
      <c r="H1158" s="1">
        <f t="shared" si="39"/>
        <v>39.75</v>
      </c>
      <c r="I1158" s="1">
        <v>67</v>
      </c>
      <c r="J1158" s="1">
        <f t="shared" si="40"/>
        <v>53.25</v>
      </c>
      <c r="M1158" s="1">
        <v>39</v>
      </c>
      <c r="P1158" s="2" t="s">
        <v>551</v>
      </c>
      <c r="Q1158" s="2" t="s">
        <v>551</v>
      </c>
      <c r="R1158" s="2" t="s">
        <v>551</v>
      </c>
      <c r="S1158" s="1">
        <v>7</v>
      </c>
    </row>
    <row r="1159" spans="1:19" x14ac:dyDescent="0.25">
      <c r="A1159" s="12">
        <v>42789</v>
      </c>
      <c r="B1159" s="14" t="s">
        <v>1174</v>
      </c>
      <c r="C1159" s="14"/>
      <c r="D1159" s="14"/>
      <c r="E1159" s="1">
        <v>52</v>
      </c>
      <c r="F1159" s="1">
        <f t="shared" si="38"/>
        <v>51.75</v>
      </c>
      <c r="G1159" s="1">
        <v>51</v>
      </c>
      <c r="H1159" s="1">
        <f t="shared" si="39"/>
        <v>37.75</v>
      </c>
      <c r="I1159" s="1">
        <v>77</v>
      </c>
      <c r="J1159" s="1">
        <f t="shared" si="40"/>
        <v>55.75</v>
      </c>
      <c r="M1159" s="1">
        <v>44</v>
      </c>
      <c r="P1159" s="2" t="s">
        <v>551</v>
      </c>
      <c r="Q1159" s="2" t="s">
        <v>551</v>
      </c>
      <c r="R1159" s="2" t="s">
        <v>551</v>
      </c>
      <c r="S1159" s="1">
        <v>8</v>
      </c>
    </row>
    <row r="1160" spans="1:19" x14ac:dyDescent="0.25">
      <c r="A1160" s="12">
        <v>42796</v>
      </c>
      <c r="B1160" s="14" t="s">
        <v>1175</v>
      </c>
      <c r="C1160" s="14"/>
      <c r="D1160" s="14"/>
      <c r="E1160" s="1">
        <v>51</v>
      </c>
      <c r="F1160" s="1">
        <f t="shared" si="38"/>
        <v>43.5</v>
      </c>
      <c r="G1160" s="1">
        <v>47</v>
      </c>
      <c r="H1160" s="1">
        <f t="shared" si="39"/>
        <v>39.75</v>
      </c>
      <c r="I1160" s="1">
        <v>64</v>
      </c>
      <c r="J1160" s="1">
        <f t="shared" si="40"/>
        <v>53.75</v>
      </c>
      <c r="M1160" s="1">
        <v>36</v>
      </c>
      <c r="P1160" s="2" t="s">
        <v>551</v>
      </c>
      <c r="Q1160" s="2" t="s">
        <v>551</v>
      </c>
      <c r="R1160" s="2" t="s">
        <v>551</v>
      </c>
      <c r="S1160" s="1">
        <v>9</v>
      </c>
    </row>
    <row r="1161" spans="1:19" x14ac:dyDescent="0.25">
      <c r="A1161" s="12">
        <v>42803</v>
      </c>
      <c r="B1161" s="14" t="s">
        <v>1176</v>
      </c>
      <c r="C1161" s="14"/>
      <c r="D1161" s="14"/>
      <c r="E1161" s="1">
        <v>60</v>
      </c>
      <c r="F1161" s="1">
        <f t="shared" si="38"/>
        <v>44.5</v>
      </c>
      <c r="G1161" s="1">
        <v>46</v>
      </c>
      <c r="H1161" s="1">
        <f t="shared" si="39"/>
        <v>34.25</v>
      </c>
      <c r="I1161" s="1">
        <v>67</v>
      </c>
      <c r="J1161" s="1">
        <f t="shared" si="40"/>
        <v>48.75</v>
      </c>
      <c r="M1161" s="1">
        <v>39</v>
      </c>
      <c r="P1161" s="2" t="s">
        <v>551</v>
      </c>
      <c r="Q1161" s="2" t="s">
        <v>551</v>
      </c>
      <c r="R1161" s="2" t="s">
        <v>551</v>
      </c>
      <c r="S1161" s="1">
        <v>10</v>
      </c>
    </row>
    <row r="1162" spans="1:19" x14ac:dyDescent="0.25">
      <c r="A1162" s="12">
        <v>42810</v>
      </c>
      <c r="B1162" s="14" t="s">
        <v>1177</v>
      </c>
      <c r="C1162" s="14"/>
      <c r="D1162" s="14"/>
      <c r="E1162" s="1">
        <v>58</v>
      </c>
      <c r="F1162" s="1">
        <f t="shared" si="38"/>
        <v>41.5</v>
      </c>
      <c r="G1162" s="1">
        <v>44</v>
      </c>
      <c r="H1162" s="1">
        <f t="shared" si="39"/>
        <v>37.75</v>
      </c>
      <c r="I1162" s="1">
        <v>73</v>
      </c>
      <c r="J1162" s="1">
        <f t="shared" si="40"/>
        <v>50</v>
      </c>
      <c r="M1162" s="1">
        <v>35</v>
      </c>
      <c r="P1162" s="2" t="s">
        <v>551</v>
      </c>
      <c r="Q1162" s="2" t="s">
        <v>551</v>
      </c>
      <c r="R1162" s="2" t="s">
        <v>551</v>
      </c>
      <c r="S1162" s="1">
        <v>11</v>
      </c>
    </row>
    <row r="1163" spans="1:19" x14ac:dyDescent="0.25">
      <c r="A1163" s="12">
        <v>42817</v>
      </c>
      <c r="B1163" s="14" t="s">
        <v>1178</v>
      </c>
      <c r="C1163" s="14"/>
      <c r="D1163" s="14"/>
      <c r="E1163" s="1">
        <v>64</v>
      </c>
      <c r="F1163" s="1">
        <f t="shared" ref="F1163:F1203" si="41">AVERAGE(E1111,E1059,E1007,E955)</f>
        <v>40.25</v>
      </c>
      <c r="G1163" s="1">
        <v>44</v>
      </c>
      <c r="H1163" s="1">
        <f t="shared" ref="H1163:H1203" si="42">AVERAGE(G1111,G1059,G1007,G955)</f>
        <v>35</v>
      </c>
      <c r="I1163" s="1">
        <v>52</v>
      </c>
      <c r="J1163" s="1">
        <f t="shared" ref="J1163:J1203" si="43">AVERAGE(I1111,I1059,I1007,I955)</f>
        <v>52.75</v>
      </c>
      <c r="M1163" s="1">
        <v>37</v>
      </c>
      <c r="P1163" s="2" t="s">
        <v>551</v>
      </c>
      <c r="Q1163" s="2" t="s">
        <v>551</v>
      </c>
      <c r="R1163" s="2" t="s">
        <v>551</v>
      </c>
      <c r="S1163" s="1">
        <v>12</v>
      </c>
    </row>
    <row r="1164" spans="1:19" x14ac:dyDescent="0.25">
      <c r="A1164" s="12">
        <v>42824</v>
      </c>
      <c r="B1164" s="14" t="s">
        <v>1179</v>
      </c>
      <c r="C1164" s="14"/>
      <c r="D1164" s="14"/>
      <c r="E1164" s="1">
        <v>45</v>
      </c>
      <c r="F1164" s="1">
        <f t="shared" si="41"/>
        <v>42.25</v>
      </c>
      <c r="G1164" s="1">
        <v>50</v>
      </c>
      <c r="H1164" s="1">
        <f t="shared" si="42"/>
        <v>32.5</v>
      </c>
      <c r="I1164" s="1">
        <v>53</v>
      </c>
      <c r="J1164" s="1">
        <f t="shared" si="43"/>
        <v>49.25</v>
      </c>
      <c r="M1164" s="1">
        <v>28</v>
      </c>
      <c r="P1164" s="2" t="s">
        <v>551</v>
      </c>
      <c r="Q1164" s="2" t="s">
        <v>551</v>
      </c>
      <c r="R1164" s="2" t="s">
        <v>551</v>
      </c>
      <c r="S1164" s="1">
        <v>13</v>
      </c>
    </row>
    <row r="1165" spans="1:19" x14ac:dyDescent="0.25">
      <c r="A1165" s="12">
        <v>42831</v>
      </c>
      <c r="B1165" s="14" t="s">
        <v>1180</v>
      </c>
      <c r="C1165" s="14"/>
      <c r="D1165" s="14"/>
      <c r="E1165" s="1">
        <v>53</v>
      </c>
      <c r="F1165" s="1">
        <f t="shared" si="41"/>
        <v>43.25</v>
      </c>
      <c r="G1165" s="1">
        <v>40</v>
      </c>
      <c r="H1165" s="1">
        <f t="shared" si="42"/>
        <v>36.25</v>
      </c>
      <c r="I1165" s="1">
        <v>60</v>
      </c>
      <c r="J1165" s="1">
        <f t="shared" si="43"/>
        <v>47.25</v>
      </c>
      <c r="M1165" s="1">
        <v>20</v>
      </c>
      <c r="P1165" s="2" t="s">
        <v>551</v>
      </c>
      <c r="Q1165" s="2" t="s">
        <v>551</v>
      </c>
      <c r="R1165" s="2" t="s">
        <v>551</v>
      </c>
      <c r="S1165" s="1">
        <v>14</v>
      </c>
    </row>
    <row r="1166" spans="1:19" x14ac:dyDescent="0.25">
      <c r="A1166" s="12">
        <v>42838</v>
      </c>
      <c r="B1166" s="14" t="s">
        <v>1181</v>
      </c>
      <c r="C1166" s="14"/>
      <c r="D1166" s="14"/>
      <c r="E1166" s="1">
        <v>38</v>
      </c>
      <c r="F1166" s="1">
        <f t="shared" si="41"/>
        <v>37.5</v>
      </c>
      <c r="G1166" s="1">
        <v>51</v>
      </c>
      <c r="H1166" s="1">
        <f t="shared" si="42"/>
        <v>35</v>
      </c>
      <c r="I1166" s="1">
        <v>56</v>
      </c>
      <c r="J1166" s="1">
        <f t="shared" si="43"/>
        <v>46.25</v>
      </c>
      <c r="M1166" s="1">
        <v>20</v>
      </c>
      <c r="P1166" s="2" t="s">
        <v>551</v>
      </c>
      <c r="Q1166" s="2" t="s">
        <v>551</v>
      </c>
      <c r="R1166" s="2" t="s">
        <v>551</v>
      </c>
      <c r="S1166" s="1">
        <v>15</v>
      </c>
    </row>
    <row r="1167" spans="1:19" x14ac:dyDescent="0.25">
      <c r="A1167" s="12">
        <v>42845</v>
      </c>
      <c r="B1167" s="14" t="s">
        <v>1182</v>
      </c>
      <c r="C1167" s="14"/>
      <c r="D1167" s="14"/>
      <c r="E1167" s="1">
        <v>40</v>
      </c>
      <c r="F1167" s="1">
        <f t="shared" si="41"/>
        <v>34.75</v>
      </c>
      <c r="G1167" s="1">
        <v>33</v>
      </c>
      <c r="H1167" s="1">
        <f t="shared" si="42"/>
        <v>32.5</v>
      </c>
      <c r="I1167" s="1">
        <v>37</v>
      </c>
      <c r="J1167" s="1">
        <f t="shared" si="43"/>
        <v>46.5</v>
      </c>
      <c r="M1167" s="1">
        <v>20</v>
      </c>
      <c r="P1167" s="2" t="s">
        <v>551</v>
      </c>
      <c r="Q1167" s="2" t="s">
        <v>551</v>
      </c>
      <c r="R1167" s="2" t="s">
        <v>551</v>
      </c>
      <c r="S1167" s="1">
        <v>16</v>
      </c>
    </row>
    <row r="1168" spans="1:19" x14ac:dyDescent="0.25">
      <c r="A1168" s="12">
        <v>42852</v>
      </c>
      <c r="B1168" s="14" t="s">
        <v>1183</v>
      </c>
      <c r="C1168" s="14"/>
      <c r="D1168" s="14"/>
      <c r="E1168" s="1">
        <v>28</v>
      </c>
      <c r="F1168" s="1">
        <f t="shared" si="41"/>
        <v>36.25</v>
      </c>
      <c r="G1168" s="1">
        <v>35</v>
      </c>
      <c r="H1168" s="1">
        <f t="shared" si="42"/>
        <v>32.5</v>
      </c>
      <c r="I1168" s="1">
        <v>46</v>
      </c>
      <c r="J1168" s="1">
        <f t="shared" si="43"/>
        <v>47.25</v>
      </c>
      <c r="M1168" s="1">
        <v>19</v>
      </c>
      <c r="P1168" s="2" t="s">
        <v>551</v>
      </c>
      <c r="Q1168" s="2" t="s">
        <v>551</v>
      </c>
      <c r="R1168" s="2" t="s">
        <v>551</v>
      </c>
      <c r="S1168" s="1">
        <v>17</v>
      </c>
    </row>
    <row r="1169" spans="1:19" x14ac:dyDescent="0.25">
      <c r="A1169" s="12">
        <v>42859</v>
      </c>
      <c r="B1169" s="14" t="s">
        <v>1184</v>
      </c>
      <c r="C1169" s="14"/>
      <c r="D1169" s="14"/>
      <c r="E1169" s="1">
        <v>35</v>
      </c>
      <c r="F1169" s="1">
        <f t="shared" si="41"/>
        <v>33.75</v>
      </c>
      <c r="G1169" s="1">
        <v>33</v>
      </c>
      <c r="H1169" s="1">
        <f t="shared" si="42"/>
        <v>32.75</v>
      </c>
      <c r="I1169" s="1">
        <v>47</v>
      </c>
      <c r="J1169" s="1">
        <f t="shared" si="43"/>
        <v>43.5</v>
      </c>
      <c r="M1169" s="1">
        <v>25</v>
      </c>
      <c r="P1169" s="2" t="s">
        <v>551</v>
      </c>
      <c r="Q1169" s="2" t="s">
        <v>551</v>
      </c>
      <c r="R1169" s="2" t="s">
        <v>551</v>
      </c>
      <c r="S1169" s="1">
        <v>18</v>
      </c>
    </row>
    <row r="1170" spans="1:19" x14ac:dyDescent="0.25">
      <c r="A1170" s="12">
        <v>42866</v>
      </c>
      <c r="B1170" s="14" t="s">
        <v>1185</v>
      </c>
      <c r="C1170" s="14"/>
      <c r="D1170" s="14"/>
      <c r="E1170" s="1">
        <v>25</v>
      </c>
      <c r="F1170" s="1">
        <f t="shared" si="41"/>
        <v>34.5</v>
      </c>
      <c r="G1170" s="1">
        <v>28</v>
      </c>
      <c r="H1170" s="1">
        <f t="shared" si="42"/>
        <v>29.75</v>
      </c>
      <c r="I1170" s="1">
        <v>52</v>
      </c>
      <c r="J1170" s="1">
        <f t="shared" si="43"/>
        <v>43.75</v>
      </c>
      <c r="M1170" s="1">
        <v>27</v>
      </c>
      <c r="P1170" s="2" t="s">
        <v>551</v>
      </c>
      <c r="Q1170" s="2" t="s">
        <v>551</v>
      </c>
      <c r="R1170" s="2" t="s">
        <v>551</v>
      </c>
      <c r="S1170" s="1">
        <v>19</v>
      </c>
    </row>
    <row r="1171" spans="1:19" x14ac:dyDescent="0.25">
      <c r="A1171" s="12">
        <v>42873</v>
      </c>
      <c r="B1171" s="14" t="s">
        <v>1186</v>
      </c>
      <c r="C1171" s="14"/>
      <c r="D1171" s="14"/>
      <c r="E1171" s="1">
        <v>30</v>
      </c>
      <c r="F1171" s="1">
        <f t="shared" si="41"/>
        <v>33.5</v>
      </c>
      <c r="G1171" s="1">
        <v>33</v>
      </c>
      <c r="H1171" s="1">
        <f t="shared" si="42"/>
        <v>28.75</v>
      </c>
      <c r="I1171" s="1">
        <v>51</v>
      </c>
      <c r="J1171" s="1">
        <f t="shared" si="43"/>
        <v>40.75</v>
      </c>
      <c r="M1171" s="1">
        <v>26</v>
      </c>
      <c r="P1171" s="2" t="s">
        <v>551</v>
      </c>
      <c r="Q1171" s="2" t="s">
        <v>551</v>
      </c>
      <c r="R1171" s="2" t="s">
        <v>551</v>
      </c>
      <c r="S1171" s="1">
        <v>20</v>
      </c>
    </row>
    <row r="1172" spans="1:19" x14ac:dyDescent="0.25">
      <c r="A1172" s="12">
        <v>42880</v>
      </c>
      <c r="B1172" s="14" t="s">
        <v>1187</v>
      </c>
      <c r="C1172" s="14"/>
      <c r="D1172" s="14"/>
      <c r="E1172" s="1">
        <v>39</v>
      </c>
      <c r="F1172" s="1">
        <f t="shared" si="41"/>
        <v>32.25</v>
      </c>
      <c r="G1172" s="1">
        <v>31</v>
      </c>
      <c r="H1172" s="1">
        <f t="shared" si="42"/>
        <v>29.75</v>
      </c>
      <c r="I1172" s="1">
        <v>61</v>
      </c>
      <c r="J1172" s="1">
        <f t="shared" si="43"/>
        <v>43</v>
      </c>
      <c r="M1172" s="1">
        <v>23</v>
      </c>
      <c r="P1172" s="2" t="s">
        <v>551</v>
      </c>
      <c r="Q1172" s="2" t="s">
        <v>551</v>
      </c>
      <c r="R1172" s="2" t="s">
        <v>551</v>
      </c>
      <c r="S1172" s="1">
        <v>21</v>
      </c>
    </row>
    <row r="1173" spans="1:19" x14ac:dyDescent="0.25">
      <c r="A1173" s="12">
        <v>42887</v>
      </c>
      <c r="B1173" s="14" t="s">
        <v>1188</v>
      </c>
      <c r="C1173" s="14"/>
      <c r="D1173" s="14"/>
      <c r="E1173" s="1">
        <v>41</v>
      </c>
      <c r="F1173" s="1">
        <f t="shared" si="41"/>
        <v>30.25</v>
      </c>
      <c r="G1173" s="1">
        <v>30</v>
      </c>
      <c r="H1173" s="1">
        <f t="shared" si="42"/>
        <v>29.75</v>
      </c>
      <c r="I1173" s="1">
        <v>58</v>
      </c>
      <c r="J1173" s="1">
        <f t="shared" si="43"/>
        <v>45</v>
      </c>
      <c r="M1173" s="1">
        <v>26</v>
      </c>
      <c r="P1173" s="2" t="s">
        <v>551</v>
      </c>
      <c r="Q1173" s="2" t="s">
        <v>551</v>
      </c>
      <c r="R1173" s="2" t="s">
        <v>551</v>
      </c>
      <c r="S1173" s="1">
        <v>22</v>
      </c>
    </row>
    <row r="1174" spans="1:19" x14ac:dyDescent="0.25">
      <c r="A1174" s="12">
        <v>42894</v>
      </c>
      <c r="B1174" s="14" t="s">
        <v>1189</v>
      </c>
      <c r="C1174" s="14"/>
      <c r="D1174" s="14"/>
      <c r="E1174" s="1">
        <v>48</v>
      </c>
      <c r="F1174" s="1">
        <f t="shared" si="41"/>
        <v>31.5</v>
      </c>
      <c r="G1174" s="1">
        <v>32</v>
      </c>
      <c r="H1174" s="1">
        <f t="shared" si="42"/>
        <v>30.25</v>
      </c>
      <c r="I1174" s="1">
        <v>55</v>
      </c>
      <c r="J1174" s="1">
        <f t="shared" si="43"/>
        <v>40</v>
      </c>
      <c r="M1174" s="1">
        <v>24</v>
      </c>
      <c r="P1174" s="2" t="s">
        <v>551</v>
      </c>
      <c r="Q1174" s="2" t="s">
        <v>551</v>
      </c>
      <c r="R1174" s="2" t="s">
        <v>551</v>
      </c>
      <c r="S1174" s="1">
        <v>23</v>
      </c>
    </row>
    <row r="1175" spans="1:19" x14ac:dyDescent="0.25">
      <c r="A1175" s="12">
        <v>42901</v>
      </c>
      <c r="B1175" s="14" t="s">
        <v>1190</v>
      </c>
      <c r="C1175" s="14"/>
      <c r="D1175" s="14"/>
      <c r="E1175" s="1">
        <v>40</v>
      </c>
      <c r="F1175" s="1">
        <f t="shared" si="41"/>
        <v>25.5</v>
      </c>
      <c r="G1175" s="1">
        <v>36</v>
      </c>
      <c r="H1175" s="1">
        <f t="shared" si="42"/>
        <v>32.5</v>
      </c>
      <c r="I1175" s="1">
        <v>54</v>
      </c>
      <c r="J1175" s="1">
        <f t="shared" si="43"/>
        <v>43.5</v>
      </c>
      <c r="M1175" s="1">
        <v>21</v>
      </c>
      <c r="P1175" s="2" t="s">
        <v>551</v>
      </c>
      <c r="Q1175" s="2" t="s">
        <v>551</v>
      </c>
      <c r="R1175" s="2" t="s">
        <v>551</v>
      </c>
      <c r="S1175" s="1">
        <v>24</v>
      </c>
    </row>
    <row r="1176" spans="1:19" x14ac:dyDescent="0.25">
      <c r="A1176" s="12">
        <v>42908</v>
      </c>
      <c r="B1176" s="14" t="s">
        <v>1191</v>
      </c>
      <c r="C1176" s="14"/>
      <c r="D1176" s="14"/>
      <c r="E1176" s="1">
        <v>40</v>
      </c>
      <c r="F1176" s="1">
        <f t="shared" si="41"/>
        <v>28</v>
      </c>
      <c r="G1176" s="1">
        <v>32</v>
      </c>
      <c r="H1176" s="1">
        <f t="shared" si="42"/>
        <v>29.5</v>
      </c>
      <c r="I1176" s="1">
        <v>45</v>
      </c>
      <c r="J1176" s="1">
        <f t="shared" si="43"/>
        <v>45.75</v>
      </c>
      <c r="M1176" s="1">
        <v>16</v>
      </c>
      <c r="P1176" s="2" t="s">
        <v>551</v>
      </c>
      <c r="Q1176" s="2" t="s">
        <v>551</v>
      </c>
      <c r="R1176" s="2" t="s">
        <v>551</v>
      </c>
      <c r="S1176" s="1">
        <v>25</v>
      </c>
    </row>
    <row r="1177" spans="1:19" x14ac:dyDescent="0.25">
      <c r="A1177" s="12">
        <v>42915</v>
      </c>
      <c r="B1177" s="14" t="s">
        <v>1192</v>
      </c>
      <c r="C1177" s="14"/>
      <c r="D1177" s="14"/>
      <c r="E1177" s="1">
        <v>38</v>
      </c>
      <c r="F1177" s="1">
        <f t="shared" si="41"/>
        <v>27</v>
      </c>
      <c r="G1177" s="1">
        <v>33</v>
      </c>
      <c r="H1177" s="1">
        <f t="shared" si="42"/>
        <v>29</v>
      </c>
      <c r="I1177" s="1">
        <v>52</v>
      </c>
      <c r="J1177" s="1">
        <f t="shared" si="43"/>
        <v>50.75</v>
      </c>
      <c r="M1177" s="1">
        <v>5</v>
      </c>
      <c r="P1177" s="2" t="s">
        <v>551</v>
      </c>
      <c r="Q1177" s="2" t="s">
        <v>551</v>
      </c>
      <c r="R1177" s="2" t="s">
        <v>551</v>
      </c>
      <c r="S1177" s="1">
        <v>26</v>
      </c>
    </row>
    <row r="1178" spans="1:19" x14ac:dyDescent="0.25">
      <c r="A1178" s="12">
        <v>42922</v>
      </c>
      <c r="B1178" s="14" t="s">
        <v>1193</v>
      </c>
      <c r="C1178" s="14"/>
      <c r="D1178" s="14"/>
      <c r="E1178" s="1">
        <v>35</v>
      </c>
      <c r="F1178" s="1">
        <f t="shared" si="41"/>
        <v>29.5</v>
      </c>
      <c r="G1178" s="1">
        <v>36</v>
      </c>
      <c r="H1178" s="1">
        <f t="shared" si="42"/>
        <v>29</v>
      </c>
      <c r="I1178" s="1">
        <v>48</v>
      </c>
      <c r="J1178" s="1">
        <f t="shared" si="43"/>
        <v>49.75</v>
      </c>
      <c r="M1178" s="1">
        <v>14</v>
      </c>
      <c r="P1178" s="2" t="s">
        <v>551</v>
      </c>
      <c r="Q1178" s="2" t="s">
        <v>551</v>
      </c>
      <c r="R1178" s="2" t="s">
        <v>551</v>
      </c>
      <c r="S1178" s="1">
        <v>27</v>
      </c>
    </row>
    <row r="1179" spans="1:19" x14ac:dyDescent="0.25">
      <c r="A1179" s="12">
        <v>42929</v>
      </c>
      <c r="B1179" s="14" t="s">
        <v>1194</v>
      </c>
      <c r="C1179" s="14"/>
      <c r="D1179" s="14"/>
      <c r="E1179" s="1">
        <v>34</v>
      </c>
      <c r="F1179" s="1">
        <f t="shared" si="41"/>
        <v>31.75</v>
      </c>
      <c r="G1179" s="1">
        <v>35</v>
      </c>
      <c r="H1179" s="1">
        <f t="shared" si="42"/>
        <v>32.25</v>
      </c>
      <c r="I1179" s="1">
        <v>56</v>
      </c>
      <c r="J1179" s="1">
        <f t="shared" si="43"/>
        <v>48.5</v>
      </c>
      <c r="M1179" s="2">
        <v>18</v>
      </c>
      <c r="P1179" s="2" t="s">
        <v>551</v>
      </c>
      <c r="Q1179" s="2" t="s">
        <v>551</v>
      </c>
      <c r="R1179" s="2" t="s">
        <v>551</v>
      </c>
      <c r="S1179" s="1">
        <v>28</v>
      </c>
    </row>
    <row r="1180" spans="1:19" x14ac:dyDescent="0.25">
      <c r="A1180" s="12">
        <v>42936</v>
      </c>
      <c r="B1180" s="14" t="s">
        <v>1195</v>
      </c>
      <c r="C1180" s="14"/>
      <c r="D1180" s="14"/>
      <c r="E1180" s="1">
        <v>38</v>
      </c>
      <c r="F1180" s="1">
        <f t="shared" si="41"/>
        <v>42</v>
      </c>
      <c r="G1180" s="1">
        <v>32</v>
      </c>
      <c r="H1180" s="1">
        <f t="shared" si="42"/>
        <v>29</v>
      </c>
      <c r="I1180" s="1">
        <v>42</v>
      </c>
      <c r="J1180" s="1">
        <f t="shared" si="43"/>
        <v>51</v>
      </c>
      <c r="M1180" s="2" t="s">
        <v>551</v>
      </c>
      <c r="P1180" s="2" t="s">
        <v>551</v>
      </c>
      <c r="Q1180" s="2" t="s">
        <v>551</v>
      </c>
      <c r="R1180" s="2" t="s">
        <v>551</v>
      </c>
      <c r="S1180" s="1">
        <v>29</v>
      </c>
    </row>
    <row r="1181" spans="1:19" x14ac:dyDescent="0.25">
      <c r="A1181" s="12">
        <v>42943</v>
      </c>
      <c r="B1181" s="14" t="s">
        <v>1196</v>
      </c>
      <c r="C1181" s="14"/>
      <c r="D1181" s="14"/>
      <c r="E1181" s="1">
        <v>30</v>
      </c>
      <c r="F1181" s="1">
        <f t="shared" si="41"/>
        <v>39.5</v>
      </c>
      <c r="G1181" s="1">
        <v>41</v>
      </c>
      <c r="H1181" s="1">
        <f t="shared" si="42"/>
        <v>33.75</v>
      </c>
      <c r="I1181" s="1">
        <v>46</v>
      </c>
      <c r="J1181" s="1">
        <f t="shared" si="43"/>
        <v>51</v>
      </c>
      <c r="M1181" s="2">
        <v>14</v>
      </c>
      <c r="P1181" s="2" t="s">
        <v>551</v>
      </c>
      <c r="Q1181" s="2" t="s">
        <v>551</v>
      </c>
      <c r="R1181" s="2" t="s">
        <v>551</v>
      </c>
      <c r="S1181" s="1">
        <v>30</v>
      </c>
    </row>
    <row r="1182" spans="1:19" x14ac:dyDescent="0.25">
      <c r="A1182" s="12">
        <v>42950</v>
      </c>
      <c r="B1182" s="14" t="s">
        <v>1197</v>
      </c>
      <c r="C1182" s="14"/>
      <c r="D1182" s="14"/>
      <c r="E1182" s="1">
        <v>43</v>
      </c>
      <c r="F1182" s="1">
        <f t="shared" si="41"/>
        <v>39.5</v>
      </c>
      <c r="G1182" s="1">
        <v>37</v>
      </c>
      <c r="H1182" s="1">
        <f t="shared" si="42"/>
        <v>37.75</v>
      </c>
      <c r="I1182" s="1">
        <v>46</v>
      </c>
      <c r="J1182" s="1">
        <f t="shared" si="43"/>
        <v>57.5</v>
      </c>
      <c r="M1182" s="2">
        <v>12</v>
      </c>
      <c r="P1182" s="2" t="s">
        <v>551</v>
      </c>
      <c r="Q1182" s="2" t="s">
        <v>551</v>
      </c>
      <c r="R1182" s="2" t="s">
        <v>551</v>
      </c>
      <c r="S1182" s="1">
        <v>31</v>
      </c>
    </row>
    <row r="1183" spans="1:19" x14ac:dyDescent="0.25">
      <c r="A1183" s="12">
        <v>42957</v>
      </c>
      <c r="B1183" s="14" t="s">
        <v>1198</v>
      </c>
      <c r="C1183" s="14"/>
      <c r="D1183" s="14"/>
      <c r="E1183" s="1">
        <v>32</v>
      </c>
      <c r="F1183" s="1">
        <f t="shared" si="41"/>
        <v>36</v>
      </c>
      <c r="G1183" s="1">
        <v>28</v>
      </c>
      <c r="H1183" s="1">
        <f t="shared" si="42"/>
        <v>37.25</v>
      </c>
      <c r="I1183" s="1">
        <v>50</v>
      </c>
      <c r="J1183" s="1">
        <f t="shared" si="43"/>
        <v>56.25</v>
      </c>
      <c r="M1183" s="1">
        <v>7</v>
      </c>
      <c r="P1183" s="2" t="s">
        <v>551</v>
      </c>
      <c r="Q1183" s="2" t="s">
        <v>551</v>
      </c>
      <c r="R1183" s="2" t="s">
        <v>551</v>
      </c>
      <c r="S1183" s="1">
        <v>32</v>
      </c>
    </row>
    <row r="1184" spans="1:19" x14ac:dyDescent="0.25">
      <c r="A1184" s="12">
        <v>42964</v>
      </c>
      <c r="B1184" s="14" t="s">
        <v>1199</v>
      </c>
      <c r="C1184" s="14"/>
      <c r="D1184" s="14"/>
      <c r="E1184" s="1">
        <v>33</v>
      </c>
      <c r="F1184" s="1">
        <f t="shared" si="41"/>
        <v>37</v>
      </c>
      <c r="G1184" s="1">
        <v>35</v>
      </c>
      <c r="H1184" s="1">
        <f t="shared" si="42"/>
        <v>33.5</v>
      </c>
      <c r="I1184" s="1">
        <v>52</v>
      </c>
      <c r="J1184" s="1">
        <f t="shared" si="43"/>
        <v>55</v>
      </c>
      <c r="M1184" s="1">
        <v>11</v>
      </c>
      <c r="P1184" s="2" t="s">
        <v>551</v>
      </c>
      <c r="Q1184" s="2" t="s">
        <v>551</v>
      </c>
      <c r="R1184" s="2" t="s">
        <v>551</v>
      </c>
      <c r="S1184" s="1">
        <v>33</v>
      </c>
    </row>
    <row r="1185" spans="1:19" x14ac:dyDescent="0.25">
      <c r="A1185" s="12">
        <v>42971</v>
      </c>
      <c r="B1185" s="14" t="s">
        <v>1200</v>
      </c>
      <c r="C1185" s="14"/>
      <c r="D1185" s="14"/>
      <c r="E1185" s="1">
        <v>39</v>
      </c>
      <c r="F1185" s="1">
        <f t="shared" si="41"/>
        <v>37.25</v>
      </c>
      <c r="G1185" s="1">
        <v>36</v>
      </c>
      <c r="H1185" s="1">
        <f t="shared" si="42"/>
        <v>33.75</v>
      </c>
      <c r="I1185" s="1">
        <v>45</v>
      </c>
      <c r="J1185" s="1">
        <f t="shared" si="43"/>
        <v>54.5</v>
      </c>
      <c r="M1185" s="1">
        <v>6</v>
      </c>
      <c r="P1185" s="2" t="s">
        <v>551</v>
      </c>
      <c r="Q1185" s="2" t="s">
        <v>551</v>
      </c>
      <c r="R1185" s="2" t="s">
        <v>551</v>
      </c>
      <c r="S1185" s="1">
        <v>34</v>
      </c>
    </row>
    <row r="1186" spans="1:19" x14ac:dyDescent="0.25">
      <c r="A1186" s="12">
        <v>42978</v>
      </c>
      <c r="B1186" s="14" t="s">
        <v>1201</v>
      </c>
      <c r="C1186" s="14"/>
      <c r="D1186" s="14"/>
      <c r="E1186" s="1">
        <v>35</v>
      </c>
      <c r="F1186" s="1">
        <f t="shared" si="41"/>
        <v>36.25</v>
      </c>
      <c r="G1186" s="1">
        <v>32</v>
      </c>
      <c r="H1186" s="1">
        <f t="shared" si="42"/>
        <v>38</v>
      </c>
      <c r="I1186" s="1">
        <v>38</v>
      </c>
      <c r="J1186" s="1">
        <f t="shared" si="43"/>
        <v>56</v>
      </c>
      <c r="M1186" s="1">
        <v>12</v>
      </c>
      <c r="P1186" s="2" t="s">
        <v>551</v>
      </c>
      <c r="Q1186" s="2" t="s">
        <v>551</v>
      </c>
      <c r="R1186" s="2" t="s">
        <v>551</v>
      </c>
      <c r="S1186" s="1">
        <v>35</v>
      </c>
    </row>
    <row r="1187" spans="1:19" x14ac:dyDescent="0.25">
      <c r="A1187" s="12">
        <v>42985</v>
      </c>
      <c r="B1187" s="14" t="s">
        <v>1202</v>
      </c>
      <c r="C1187" s="14"/>
      <c r="D1187" s="14"/>
      <c r="E1187" s="1">
        <v>39</v>
      </c>
      <c r="F1187" s="1">
        <f t="shared" si="41"/>
        <v>31.5</v>
      </c>
      <c r="G1187" s="1">
        <v>31</v>
      </c>
      <c r="H1187" s="1">
        <f t="shared" si="42"/>
        <v>39.25</v>
      </c>
      <c r="I1187" s="1">
        <v>46</v>
      </c>
      <c r="J1187" s="1">
        <f t="shared" si="43"/>
        <v>63</v>
      </c>
      <c r="M1187" s="1">
        <v>5</v>
      </c>
      <c r="P1187" s="2" t="s">
        <v>551</v>
      </c>
      <c r="Q1187" s="2" t="s">
        <v>551</v>
      </c>
      <c r="R1187" s="2" t="s">
        <v>551</v>
      </c>
      <c r="S1187" s="1">
        <v>36</v>
      </c>
    </row>
    <row r="1188" spans="1:19" x14ac:dyDescent="0.25">
      <c r="A1188" s="12">
        <v>42992</v>
      </c>
      <c r="B1188" s="14" t="s">
        <v>1203</v>
      </c>
      <c r="C1188" s="14"/>
      <c r="D1188" s="14"/>
      <c r="E1188" s="1">
        <v>40</v>
      </c>
      <c r="F1188" s="1">
        <f t="shared" si="41"/>
        <v>35</v>
      </c>
      <c r="G1188" s="1">
        <v>36</v>
      </c>
      <c r="H1188" s="1">
        <f t="shared" si="42"/>
        <v>38.5</v>
      </c>
      <c r="I1188" s="1">
        <v>58</v>
      </c>
      <c r="J1188" s="1">
        <f t="shared" si="43"/>
        <v>63.75</v>
      </c>
      <c r="M1188" s="1">
        <v>5</v>
      </c>
      <c r="P1188" s="2" t="s">
        <v>551</v>
      </c>
      <c r="Q1188" s="2" t="s">
        <v>551</v>
      </c>
      <c r="R1188" s="2" t="s">
        <v>551</v>
      </c>
      <c r="S1188" s="1">
        <v>37</v>
      </c>
    </row>
    <row r="1189" spans="1:19" x14ac:dyDescent="0.25">
      <c r="A1189" s="12">
        <v>42999</v>
      </c>
      <c r="B1189" s="14" t="s">
        <v>1204</v>
      </c>
      <c r="C1189" s="14"/>
      <c r="D1189" s="14"/>
      <c r="E1189" s="1">
        <v>52</v>
      </c>
      <c r="F1189" s="1">
        <f t="shared" si="41"/>
        <v>43.5</v>
      </c>
      <c r="G1189" s="1">
        <v>32</v>
      </c>
      <c r="H1189" s="1">
        <f t="shared" si="42"/>
        <v>41</v>
      </c>
      <c r="I1189" s="1">
        <v>55</v>
      </c>
      <c r="J1189" s="1">
        <f t="shared" si="43"/>
        <v>62</v>
      </c>
      <c r="M1189" s="1">
        <v>11</v>
      </c>
      <c r="P1189" s="2" t="s">
        <v>551</v>
      </c>
      <c r="Q1189" s="2" t="s">
        <v>551</v>
      </c>
      <c r="R1189" s="2" t="s">
        <v>551</v>
      </c>
      <c r="S1189" s="1">
        <v>38</v>
      </c>
    </row>
    <row r="1190" spans="1:19" x14ac:dyDescent="0.25">
      <c r="A1190" s="12">
        <v>43006</v>
      </c>
      <c r="B1190" s="14" t="s">
        <v>1205</v>
      </c>
      <c r="C1190" s="14"/>
      <c r="D1190" s="14"/>
      <c r="E1190" s="1">
        <v>46</v>
      </c>
      <c r="F1190" s="1">
        <f t="shared" si="41"/>
        <v>49</v>
      </c>
      <c r="G1190" s="1">
        <v>42</v>
      </c>
      <c r="H1190" s="1">
        <f t="shared" si="42"/>
        <v>40.75</v>
      </c>
      <c r="I1190" s="1">
        <v>64</v>
      </c>
      <c r="J1190" s="1">
        <f t="shared" si="43"/>
        <v>66.5</v>
      </c>
      <c r="M1190" s="1">
        <v>15</v>
      </c>
      <c r="P1190" s="2" t="s">
        <v>551</v>
      </c>
      <c r="Q1190" s="2" t="s">
        <v>551</v>
      </c>
      <c r="R1190" s="2" t="s">
        <v>551</v>
      </c>
      <c r="S1190" s="1">
        <v>39</v>
      </c>
    </row>
    <row r="1191" spans="1:19" x14ac:dyDescent="0.25">
      <c r="A1191" s="12">
        <v>43013</v>
      </c>
      <c r="B1191" s="14" t="s">
        <v>1206</v>
      </c>
      <c r="C1191" s="14"/>
      <c r="D1191" s="14"/>
      <c r="E1191" s="1">
        <v>50</v>
      </c>
      <c r="F1191" s="1">
        <f t="shared" si="41"/>
        <v>46.5</v>
      </c>
      <c r="G1191" s="1">
        <v>35</v>
      </c>
      <c r="H1191" s="1">
        <f t="shared" si="42"/>
        <v>44.75</v>
      </c>
      <c r="I1191" s="1">
        <v>64</v>
      </c>
      <c r="J1191" s="1">
        <f t="shared" si="43"/>
        <v>78</v>
      </c>
      <c r="M1191" s="2" t="s">
        <v>551</v>
      </c>
      <c r="P1191" s="2" t="s">
        <v>551</v>
      </c>
      <c r="Q1191" s="2" t="s">
        <v>551</v>
      </c>
      <c r="R1191" s="2" t="s">
        <v>551</v>
      </c>
      <c r="S1191" s="1">
        <v>40</v>
      </c>
    </row>
    <row r="1192" spans="1:19" x14ac:dyDescent="0.25">
      <c r="A1192" s="12">
        <v>43020</v>
      </c>
      <c r="B1192" s="14" t="s">
        <v>1207</v>
      </c>
      <c r="C1192" s="14"/>
      <c r="D1192" s="14"/>
      <c r="E1192" s="1">
        <v>55</v>
      </c>
      <c r="F1192" s="1">
        <f t="shared" si="41"/>
        <v>51.75</v>
      </c>
      <c r="G1192" s="1">
        <v>31</v>
      </c>
      <c r="H1192" s="1">
        <f t="shared" si="42"/>
        <v>47.25</v>
      </c>
      <c r="I1192" s="1">
        <v>61</v>
      </c>
      <c r="J1192" s="1">
        <f t="shared" si="43"/>
        <v>68.5</v>
      </c>
      <c r="M1192" s="1">
        <v>13</v>
      </c>
      <c r="P1192" s="2" t="s">
        <v>551</v>
      </c>
      <c r="Q1192" s="2" t="s">
        <v>551</v>
      </c>
      <c r="R1192" s="2" t="s">
        <v>551</v>
      </c>
      <c r="S1192" s="1">
        <v>41</v>
      </c>
    </row>
    <row r="1193" spans="1:19" x14ac:dyDescent="0.25">
      <c r="A1193" s="12">
        <v>43027</v>
      </c>
      <c r="B1193" s="14" t="s">
        <v>1208</v>
      </c>
      <c r="C1193" s="14"/>
      <c r="D1193" s="14"/>
      <c r="E1193" s="1">
        <v>62</v>
      </c>
      <c r="F1193" s="1">
        <f t="shared" si="41"/>
        <v>54.75</v>
      </c>
      <c r="G1193" s="1">
        <v>35</v>
      </c>
      <c r="H1193" s="1">
        <f t="shared" si="42"/>
        <v>45</v>
      </c>
      <c r="I1193" s="1">
        <v>46</v>
      </c>
      <c r="J1193" s="1">
        <f t="shared" si="43"/>
        <v>63</v>
      </c>
      <c r="M1193" s="1">
        <v>20</v>
      </c>
      <c r="P1193" s="2" t="s">
        <v>551</v>
      </c>
      <c r="Q1193" s="2" t="s">
        <v>551</v>
      </c>
      <c r="R1193" s="2" t="s">
        <v>551</v>
      </c>
      <c r="S1193" s="1">
        <v>42</v>
      </c>
    </row>
    <row r="1194" spans="1:19" x14ac:dyDescent="0.25">
      <c r="A1194" s="12">
        <v>43034</v>
      </c>
      <c r="B1194" s="14" t="s">
        <v>1209</v>
      </c>
      <c r="C1194" s="14"/>
      <c r="D1194" s="14"/>
      <c r="E1194" s="1">
        <v>58</v>
      </c>
      <c r="F1194" s="1">
        <f t="shared" si="41"/>
        <v>45.75</v>
      </c>
      <c r="G1194" s="1">
        <v>35</v>
      </c>
      <c r="H1194" s="1">
        <f t="shared" si="42"/>
        <v>42.25</v>
      </c>
      <c r="I1194" s="1">
        <v>50</v>
      </c>
      <c r="J1194" s="1">
        <f t="shared" si="43"/>
        <v>73.75</v>
      </c>
      <c r="M1194" s="1">
        <v>12</v>
      </c>
      <c r="P1194" s="2" t="s">
        <v>551</v>
      </c>
      <c r="Q1194" s="2" t="s">
        <v>551</v>
      </c>
      <c r="R1194" s="2" t="s">
        <v>551</v>
      </c>
      <c r="S1194" s="1">
        <v>43</v>
      </c>
    </row>
    <row r="1195" spans="1:19" x14ac:dyDescent="0.25">
      <c r="A1195" s="12">
        <v>43041</v>
      </c>
      <c r="B1195" s="14" t="s">
        <v>1210</v>
      </c>
      <c r="C1195" s="14"/>
      <c r="D1195" s="14"/>
      <c r="E1195" s="1">
        <v>57</v>
      </c>
      <c r="F1195" s="1">
        <f t="shared" si="41"/>
        <v>51</v>
      </c>
      <c r="G1195" s="1">
        <v>33</v>
      </c>
      <c r="H1195" s="1">
        <f t="shared" si="42"/>
        <v>48.5</v>
      </c>
      <c r="I1195" s="1">
        <v>55</v>
      </c>
      <c r="J1195" s="1">
        <f t="shared" si="43"/>
        <v>70.5</v>
      </c>
      <c r="M1195" s="1">
        <v>6</v>
      </c>
      <c r="P1195" s="2" t="s">
        <v>551</v>
      </c>
      <c r="Q1195" s="2" t="s">
        <v>551</v>
      </c>
      <c r="R1195" s="2" t="s">
        <v>551</v>
      </c>
      <c r="S1195" s="1">
        <v>44</v>
      </c>
    </row>
    <row r="1196" spans="1:19" x14ac:dyDescent="0.25">
      <c r="A1196" s="12">
        <v>43048</v>
      </c>
      <c r="B1196" s="14" t="s">
        <v>1211</v>
      </c>
      <c r="C1196" s="14"/>
      <c r="D1196" s="14"/>
      <c r="E1196" s="1">
        <v>52</v>
      </c>
      <c r="F1196" s="1">
        <f t="shared" si="41"/>
        <v>45.5</v>
      </c>
      <c r="G1196" s="1">
        <v>40</v>
      </c>
      <c r="H1196" s="1">
        <f t="shared" si="42"/>
        <v>49.5</v>
      </c>
      <c r="I1196" s="1">
        <v>50</v>
      </c>
      <c r="J1196" s="1">
        <f t="shared" si="43"/>
        <v>71.75</v>
      </c>
      <c r="M1196" s="1">
        <v>6</v>
      </c>
      <c r="P1196" s="2" t="s">
        <v>551</v>
      </c>
      <c r="Q1196" s="2" t="s">
        <v>551</v>
      </c>
      <c r="R1196" s="2" t="s">
        <v>551</v>
      </c>
      <c r="S1196" s="1">
        <v>45</v>
      </c>
    </row>
    <row r="1197" spans="1:19" x14ac:dyDescent="0.25">
      <c r="A1197" s="12">
        <v>43055</v>
      </c>
      <c r="B1197" s="14" t="s">
        <v>1212</v>
      </c>
      <c r="C1197" s="14"/>
      <c r="D1197" s="14"/>
      <c r="E1197" s="1">
        <v>50</v>
      </c>
      <c r="F1197" s="1">
        <f t="shared" si="41"/>
        <v>50.25</v>
      </c>
      <c r="G1197" s="1">
        <v>41</v>
      </c>
      <c r="H1197" s="1">
        <f t="shared" si="42"/>
        <v>45.75</v>
      </c>
      <c r="I1197" s="1">
        <v>55</v>
      </c>
      <c r="J1197" s="1">
        <f t="shared" si="43"/>
        <v>65.5</v>
      </c>
      <c r="M1197" s="1">
        <v>12</v>
      </c>
      <c r="P1197" s="2" t="s">
        <v>551</v>
      </c>
      <c r="Q1197" s="2" t="s">
        <v>551</v>
      </c>
      <c r="R1197" s="2" t="s">
        <v>551</v>
      </c>
      <c r="S1197" s="1">
        <v>46</v>
      </c>
    </row>
    <row r="1198" spans="1:19" x14ac:dyDescent="0.25">
      <c r="A1198" s="12">
        <v>43062</v>
      </c>
      <c r="B1198" s="14" t="s">
        <v>1213</v>
      </c>
      <c r="C1198" s="14"/>
      <c r="D1198" s="14"/>
      <c r="E1198" s="1">
        <v>47</v>
      </c>
      <c r="F1198" s="1">
        <f t="shared" si="41"/>
        <v>44</v>
      </c>
      <c r="G1198" s="1">
        <v>35</v>
      </c>
      <c r="H1198" s="1">
        <f t="shared" si="42"/>
        <v>46.75</v>
      </c>
      <c r="I1198" s="1">
        <v>49</v>
      </c>
      <c r="J1198" s="1">
        <f t="shared" si="43"/>
        <v>71.5</v>
      </c>
      <c r="M1198" s="2" t="s">
        <v>551</v>
      </c>
      <c r="P1198" s="2" t="s">
        <v>551</v>
      </c>
      <c r="Q1198" s="2" t="s">
        <v>551</v>
      </c>
      <c r="R1198" s="2" t="s">
        <v>551</v>
      </c>
      <c r="S1198" s="1">
        <v>47</v>
      </c>
    </row>
    <row r="1199" spans="1:19" x14ac:dyDescent="0.25">
      <c r="A1199" s="12">
        <v>43069</v>
      </c>
      <c r="B1199" s="14" t="s">
        <v>1214</v>
      </c>
      <c r="C1199" s="14"/>
      <c r="D1199" s="14"/>
      <c r="E1199" s="1">
        <v>48</v>
      </c>
      <c r="F1199" s="1">
        <f t="shared" si="41"/>
        <v>46.25</v>
      </c>
      <c r="G1199" s="1">
        <v>43</v>
      </c>
      <c r="H1199" s="1">
        <f t="shared" si="42"/>
        <v>45.5</v>
      </c>
      <c r="I1199" s="1">
        <v>42</v>
      </c>
      <c r="J1199" s="1">
        <f t="shared" si="43"/>
        <v>67.5</v>
      </c>
      <c r="M1199" s="1">
        <v>9</v>
      </c>
      <c r="P1199" s="2" t="s">
        <v>551</v>
      </c>
      <c r="Q1199" s="2" t="s">
        <v>551</v>
      </c>
      <c r="R1199" s="2" t="s">
        <v>551</v>
      </c>
      <c r="S1199" s="1">
        <v>48</v>
      </c>
    </row>
    <row r="1200" spans="1:19" x14ac:dyDescent="0.25">
      <c r="A1200" s="12">
        <v>43076</v>
      </c>
      <c r="B1200" s="14" t="s">
        <v>1215</v>
      </c>
      <c r="C1200" s="14"/>
      <c r="D1200" s="14"/>
      <c r="E1200" s="1">
        <v>38</v>
      </c>
      <c r="F1200" s="1">
        <f t="shared" si="41"/>
        <v>43.5</v>
      </c>
      <c r="G1200" s="1">
        <v>37</v>
      </c>
      <c r="H1200" s="1">
        <f t="shared" si="42"/>
        <v>44</v>
      </c>
      <c r="I1200" s="1">
        <v>61</v>
      </c>
      <c r="J1200" s="1">
        <f t="shared" si="43"/>
        <v>77.25</v>
      </c>
      <c r="M1200" s="1">
        <v>9</v>
      </c>
      <c r="P1200" s="2" t="s">
        <v>551</v>
      </c>
      <c r="Q1200" s="2" t="s">
        <v>551</v>
      </c>
      <c r="R1200" s="2" t="s">
        <v>551</v>
      </c>
      <c r="S1200" s="1">
        <v>49</v>
      </c>
    </row>
    <row r="1201" spans="1:19" x14ac:dyDescent="0.25">
      <c r="A1201" s="12">
        <v>43083</v>
      </c>
      <c r="B1201" s="14" t="s">
        <v>1216</v>
      </c>
      <c r="C1201" s="14"/>
      <c r="D1201" s="14"/>
      <c r="E1201" s="1">
        <v>34</v>
      </c>
      <c r="F1201" s="1">
        <f t="shared" si="41"/>
        <v>45.5</v>
      </c>
      <c r="G1201" s="1">
        <v>39</v>
      </c>
      <c r="H1201" s="1">
        <f t="shared" si="42"/>
        <v>45.75</v>
      </c>
      <c r="I1201" s="1">
        <v>54</v>
      </c>
      <c r="J1201" s="1">
        <f t="shared" si="43"/>
        <v>69.25</v>
      </c>
      <c r="M1201" s="1">
        <v>15</v>
      </c>
      <c r="P1201" s="2" t="s">
        <v>551</v>
      </c>
      <c r="Q1201" s="2" t="s">
        <v>551</v>
      </c>
      <c r="R1201" s="2" t="s">
        <v>551</v>
      </c>
      <c r="S1201" s="1">
        <v>50</v>
      </c>
    </row>
    <row r="1202" spans="1:19" x14ac:dyDescent="0.25">
      <c r="A1202" s="12">
        <v>43090</v>
      </c>
      <c r="B1202" s="14" t="s">
        <v>1217</v>
      </c>
      <c r="C1202" s="14"/>
      <c r="D1202" s="14"/>
      <c r="E1202" s="1">
        <v>52</v>
      </c>
      <c r="F1202" s="1">
        <f t="shared" si="41"/>
        <v>47.25</v>
      </c>
      <c r="G1202" s="1">
        <v>31</v>
      </c>
      <c r="H1202" s="1">
        <f t="shared" si="42"/>
        <v>41.75</v>
      </c>
      <c r="I1202" s="1">
        <v>49</v>
      </c>
      <c r="J1202" s="1">
        <f t="shared" si="43"/>
        <v>58.5</v>
      </c>
      <c r="M1202" s="1">
        <v>12</v>
      </c>
      <c r="P1202" s="2" t="s">
        <v>551</v>
      </c>
      <c r="Q1202" s="2" t="s">
        <v>551</v>
      </c>
      <c r="R1202" s="2" t="s">
        <v>551</v>
      </c>
      <c r="S1202" s="1">
        <v>51</v>
      </c>
    </row>
    <row r="1203" spans="1:19" x14ac:dyDescent="0.25">
      <c r="A1203" s="12">
        <v>43097</v>
      </c>
      <c r="B1203" s="14" t="s">
        <v>1218</v>
      </c>
      <c r="C1203" s="14"/>
      <c r="D1203" s="14"/>
      <c r="E1203" s="1">
        <v>53</v>
      </c>
      <c r="F1203" s="1">
        <f t="shared" si="41"/>
        <v>48</v>
      </c>
      <c r="G1203" s="1">
        <v>35</v>
      </c>
      <c r="H1203" s="1">
        <f t="shared" si="42"/>
        <v>40.5</v>
      </c>
      <c r="I1203" s="1">
        <v>48</v>
      </c>
      <c r="J1203" s="1">
        <f t="shared" si="43"/>
        <v>70.75</v>
      </c>
      <c r="M1203" s="1">
        <v>7</v>
      </c>
      <c r="P1203" s="2" t="s">
        <v>551</v>
      </c>
      <c r="Q1203" s="2" t="s">
        <v>551</v>
      </c>
      <c r="R1203" s="2" t="s">
        <v>551</v>
      </c>
      <c r="S1203" s="1">
        <v>52</v>
      </c>
    </row>
    <row r="1204" spans="1:19" x14ac:dyDescent="0.25">
      <c r="A1204" s="12">
        <v>43104</v>
      </c>
      <c r="B1204" s="14" t="s">
        <v>1219</v>
      </c>
      <c r="C1204" s="14"/>
      <c r="D1204" s="14"/>
      <c r="E1204" s="1">
        <v>41</v>
      </c>
      <c r="F1204" s="1">
        <f t="shared" ref="F1204:F1235" si="44">AVERAGE(E1152,E1100,E1048,E996)</f>
        <v>47.5</v>
      </c>
      <c r="G1204" s="1">
        <v>37</v>
      </c>
      <c r="H1204" s="1">
        <f t="shared" ref="H1204:H1235" si="45">AVERAGE(G1152,G1100,G1048,G996)</f>
        <v>39.75</v>
      </c>
      <c r="I1204" s="1">
        <v>47</v>
      </c>
      <c r="J1204" s="1">
        <f t="shared" ref="J1204:J1235" si="46">AVERAGE(I1152,I1100,I1048,I996)</f>
        <v>70</v>
      </c>
      <c r="M1204" s="1">
        <v>13</v>
      </c>
      <c r="P1204" s="2" t="s">
        <v>551</v>
      </c>
      <c r="Q1204" s="2" t="s">
        <v>551</v>
      </c>
      <c r="R1204" s="2" t="s">
        <v>551</v>
      </c>
      <c r="S1204" s="1">
        <v>1</v>
      </c>
    </row>
    <row r="1205" spans="1:19" x14ac:dyDescent="0.25">
      <c r="A1205" s="12">
        <v>43111</v>
      </c>
      <c r="B1205" s="14" t="s">
        <v>1220</v>
      </c>
      <c r="C1205" s="14"/>
      <c r="D1205" s="14"/>
      <c r="E1205" s="1">
        <v>42</v>
      </c>
      <c r="F1205" s="1">
        <f t="shared" si="44"/>
        <v>50.75</v>
      </c>
      <c r="G1205" s="1">
        <v>36</v>
      </c>
      <c r="H1205" s="1">
        <f t="shared" si="45"/>
        <v>44.75</v>
      </c>
      <c r="I1205" s="1">
        <v>59</v>
      </c>
      <c r="J1205" s="1">
        <f t="shared" si="46"/>
        <v>77.75</v>
      </c>
      <c r="M1205" s="1">
        <v>14</v>
      </c>
      <c r="P1205" s="2" t="s">
        <v>551</v>
      </c>
      <c r="Q1205" s="2" t="s">
        <v>551</v>
      </c>
      <c r="R1205" s="2" t="s">
        <v>551</v>
      </c>
      <c r="S1205" s="1">
        <v>2</v>
      </c>
    </row>
    <row r="1206" spans="1:19" x14ac:dyDescent="0.25">
      <c r="A1206" s="12">
        <v>43118</v>
      </c>
      <c r="B1206" s="14" t="s">
        <v>1221</v>
      </c>
      <c r="C1206" s="14"/>
      <c r="D1206" s="14"/>
      <c r="E1206" s="1">
        <v>45</v>
      </c>
      <c r="F1206" s="1">
        <f t="shared" si="44"/>
        <v>56.75</v>
      </c>
      <c r="G1206" s="1">
        <v>32</v>
      </c>
      <c r="H1206" s="1">
        <f t="shared" si="45"/>
        <v>42.5</v>
      </c>
      <c r="I1206" s="1">
        <v>66</v>
      </c>
      <c r="J1206" s="1">
        <f t="shared" si="46"/>
        <v>70.25</v>
      </c>
      <c r="M1206" s="1">
        <v>16</v>
      </c>
      <c r="P1206" s="2" t="s">
        <v>551</v>
      </c>
      <c r="Q1206" s="2" t="s">
        <v>551</v>
      </c>
      <c r="R1206" s="2" t="s">
        <v>551</v>
      </c>
      <c r="S1206" s="1">
        <v>3</v>
      </c>
    </row>
    <row r="1207" spans="1:19" x14ac:dyDescent="0.25">
      <c r="A1207" s="12">
        <v>43125</v>
      </c>
      <c r="B1207" s="14" t="s">
        <v>1222</v>
      </c>
      <c r="C1207" s="14"/>
      <c r="D1207" s="14"/>
      <c r="E1207" s="1">
        <v>55</v>
      </c>
      <c r="F1207" s="1">
        <f t="shared" si="44"/>
        <v>59.25</v>
      </c>
      <c r="G1207" s="1">
        <v>33</v>
      </c>
      <c r="H1207" s="1">
        <f t="shared" si="45"/>
        <v>38.75</v>
      </c>
      <c r="I1207" s="1">
        <v>55</v>
      </c>
      <c r="J1207" s="1">
        <f t="shared" si="46"/>
        <v>73.5</v>
      </c>
      <c r="M1207" s="1">
        <v>21</v>
      </c>
      <c r="P1207" s="2" t="s">
        <v>551</v>
      </c>
      <c r="Q1207" s="2" t="s">
        <v>551</v>
      </c>
      <c r="R1207" s="2" t="s">
        <v>551</v>
      </c>
      <c r="S1207" s="1">
        <v>4</v>
      </c>
    </row>
    <row r="1208" spans="1:19" x14ac:dyDescent="0.25">
      <c r="A1208" s="12">
        <v>43132</v>
      </c>
      <c r="B1208" s="14" t="s">
        <v>1223</v>
      </c>
      <c r="C1208" s="14"/>
      <c r="D1208" s="14"/>
      <c r="E1208" s="1">
        <v>62</v>
      </c>
      <c r="F1208" s="1">
        <f t="shared" si="44"/>
        <v>59.75</v>
      </c>
      <c r="G1208" s="1">
        <v>40</v>
      </c>
      <c r="H1208" s="1">
        <f t="shared" si="45"/>
        <v>41.25</v>
      </c>
      <c r="I1208" s="1">
        <v>62</v>
      </c>
      <c r="J1208" s="1">
        <f t="shared" si="46"/>
        <v>70.75</v>
      </c>
      <c r="M1208" s="1">
        <v>15</v>
      </c>
      <c r="P1208" s="2" t="s">
        <v>551</v>
      </c>
      <c r="Q1208" s="2" t="s">
        <v>551</v>
      </c>
      <c r="R1208" s="2" t="s">
        <v>551</v>
      </c>
      <c r="S1208" s="1">
        <v>5</v>
      </c>
    </row>
    <row r="1209" spans="1:19" x14ac:dyDescent="0.25">
      <c r="A1209" s="12">
        <v>43139</v>
      </c>
      <c r="B1209" s="14" t="s">
        <v>1224</v>
      </c>
      <c r="C1209" s="14"/>
      <c r="D1209" s="14"/>
      <c r="E1209" s="1">
        <v>56</v>
      </c>
      <c r="F1209" s="1">
        <f t="shared" si="44"/>
        <v>59</v>
      </c>
      <c r="G1209" s="1">
        <v>36</v>
      </c>
      <c r="H1209" s="1">
        <f t="shared" si="45"/>
        <v>46.25</v>
      </c>
      <c r="I1209" s="1">
        <v>59</v>
      </c>
      <c r="J1209" s="1">
        <f t="shared" si="46"/>
        <v>66</v>
      </c>
      <c r="M1209" s="1">
        <v>11</v>
      </c>
      <c r="P1209" s="2" t="s">
        <v>551</v>
      </c>
      <c r="Q1209" s="2" t="s">
        <v>551</v>
      </c>
      <c r="R1209" s="2" t="s">
        <v>551</v>
      </c>
      <c r="S1209" s="1">
        <v>6</v>
      </c>
    </row>
    <row r="1210" spans="1:19" x14ac:dyDescent="0.25">
      <c r="A1210" s="12">
        <v>43146</v>
      </c>
      <c r="B1210" s="14" t="s">
        <v>1225</v>
      </c>
      <c r="C1210" s="14"/>
      <c r="D1210" s="14"/>
      <c r="E1210" s="1">
        <v>57</v>
      </c>
      <c r="F1210" s="1">
        <f t="shared" si="44"/>
        <v>59</v>
      </c>
      <c r="G1210" s="1">
        <v>36</v>
      </c>
      <c r="H1210" s="1">
        <f t="shared" si="45"/>
        <v>42</v>
      </c>
      <c r="I1210" s="1">
        <v>47</v>
      </c>
      <c r="J1210" s="1">
        <f t="shared" si="46"/>
        <v>57.25</v>
      </c>
      <c r="M1210" s="1">
        <v>23</v>
      </c>
      <c r="P1210" s="2" t="s">
        <v>551</v>
      </c>
      <c r="Q1210" s="2" t="s">
        <v>551</v>
      </c>
      <c r="R1210" s="2" t="s">
        <v>551</v>
      </c>
      <c r="S1210" s="1">
        <v>7</v>
      </c>
    </row>
    <row r="1211" spans="1:19" x14ac:dyDescent="0.25">
      <c r="A1211" s="12">
        <v>43153</v>
      </c>
      <c r="B1211" s="14" t="s">
        <v>1226</v>
      </c>
      <c r="C1211" s="14"/>
      <c r="D1211" s="14"/>
      <c r="E1211" s="1">
        <v>68</v>
      </c>
      <c r="F1211" s="1">
        <f t="shared" si="44"/>
        <v>57.75</v>
      </c>
      <c r="G1211" s="1">
        <v>37</v>
      </c>
      <c r="H1211" s="1">
        <f t="shared" si="45"/>
        <v>42.25</v>
      </c>
      <c r="I1211" s="1">
        <v>56</v>
      </c>
      <c r="J1211" s="1">
        <f t="shared" si="46"/>
        <v>65</v>
      </c>
      <c r="M1211" s="1">
        <v>19</v>
      </c>
      <c r="P1211" s="2" t="s">
        <v>551</v>
      </c>
      <c r="Q1211" s="2" t="s">
        <v>551</v>
      </c>
      <c r="R1211" s="2" t="s">
        <v>551</v>
      </c>
      <c r="S1211" s="1">
        <v>8</v>
      </c>
    </row>
    <row r="1212" spans="1:19" x14ac:dyDescent="0.25">
      <c r="A1212" s="12">
        <v>43160</v>
      </c>
      <c r="B1212" s="14" t="s">
        <v>1227</v>
      </c>
      <c r="C1212" s="14"/>
      <c r="D1212" s="14"/>
      <c r="E1212" s="1">
        <v>52</v>
      </c>
      <c r="F1212" s="1">
        <f t="shared" si="44"/>
        <v>50.75</v>
      </c>
      <c r="G1212" s="1">
        <v>41</v>
      </c>
      <c r="H1212" s="1">
        <f t="shared" si="45"/>
        <v>43</v>
      </c>
      <c r="I1212" s="1">
        <v>53</v>
      </c>
      <c r="J1212" s="1">
        <f t="shared" si="46"/>
        <v>59.75</v>
      </c>
      <c r="M1212" s="1">
        <v>24</v>
      </c>
      <c r="P1212" s="2" t="s">
        <v>551</v>
      </c>
      <c r="Q1212" s="2" t="s">
        <v>551</v>
      </c>
      <c r="R1212" s="2" t="s">
        <v>551</v>
      </c>
      <c r="S1212" s="1">
        <v>9</v>
      </c>
    </row>
    <row r="1213" spans="1:19" x14ac:dyDescent="0.25">
      <c r="A1213" s="12">
        <v>43167</v>
      </c>
      <c r="B1213" s="14" t="s">
        <v>1228</v>
      </c>
      <c r="C1213" s="14"/>
      <c r="D1213" s="14"/>
      <c r="E1213" s="1">
        <v>54</v>
      </c>
      <c r="F1213" s="1">
        <f t="shared" si="44"/>
        <v>52.75</v>
      </c>
      <c r="G1213" s="1">
        <v>39</v>
      </c>
      <c r="H1213" s="1">
        <f t="shared" si="45"/>
        <v>39</v>
      </c>
      <c r="I1213" s="1">
        <v>67</v>
      </c>
      <c r="J1213" s="1">
        <f t="shared" si="46"/>
        <v>56</v>
      </c>
      <c r="M1213" s="1">
        <v>27</v>
      </c>
      <c r="P1213" s="2" t="s">
        <v>551</v>
      </c>
      <c r="Q1213" s="2" t="s">
        <v>551</v>
      </c>
      <c r="R1213" s="2" t="s">
        <v>551</v>
      </c>
      <c r="S1213" s="1">
        <v>10</v>
      </c>
    </row>
    <row r="1214" spans="1:19" x14ac:dyDescent="0.25">
      <c r="A1214" s="12">
        <v>43174</v>
      </c>
      <c r="B1214" s="14" t="s">
        <v>1229</v>
      </c>
      <c r="C1214" s="14"/>
      <c r="D1214" s="14"/>
      <c r="E1214" s="1">
        <v>53</v>
      </c>
      <c r="F1214" s="1">
        <f t="shared" si="44"/>
        <v>50.25</v>
      </c>
      <c r="G1214" s="1">
        <v>37</v>
      </c>
      <c r="H1214" s="1">
        <f t="shared" si="45"/>
        <v>40.5</v>
      </c>
      <c r="I1214" s="1">
        <v>62</v>
      </c>
      <c r="J1214" s="1">
        <f t="shared" si="46"/>
        <v>57.75</v>
      </c>
      <c r="M1214" s="1">
        <v>24</v>
      </c>
      <c r="P1214" s="2" t="s">
        <v>551</v>
      </c>
      <c r="Q1214" s="2" t="s">
        <v>551</v>
      </c>
      <c r="R1214" s="2" t="s">
        <v>551</v>
      </c>
      <c r="S1214" s="1">
        <v>11</v>
      </c>
    </row>
    <row r="1215" spans="1:19" x14ac:dyDescent="0.25">
      <c r="A1215" s="12">
        <v>43181</v>
      </c>
      <c r="B1215" s="14" t="s">
        <v>1230</v>
      </c>
      <c r="C1215" s="14"/>
      <c r="D1215" s="14"/>
      <c r="E1215" s="1">
        <v>54</v>
      </c>
      <c r="F1215" s="1">
        <f t="shared" si="44"/>
        <v>51.75</v>
      </c>
      <c r="G1215" s="1">
        <v>35</v>
      </c>
      <c r="H1215" s="1">
        <f t="shared" si="45"/>
        <v>39</v>
      </c>
      <c r="I1215" s="1">
        <v>53</v>
      </c>
      <c r="J1215" s="1">
        <f t="shared" si="46"/>
        <v>54.5</v>
      </c>
      <c r="M1215" s="1">
        <v>23</v>
      </c>
      <c r="P1215" s="2" t="s">
        <v>551</v>
      </c>
      <c r="Q1215" s="2" t="s">
        <v>551</v>
      </c>
      <c r="R1215" s="2" t="s">
        <v>551</v>
      </c>
      <c r="S1215" s="1">
        <v>12</v>
      </c>
    </row>
    <row r="1216" spans="1:19" x14ac:dyDescent="0.25">
      <c r="A1216" s="12">
        <v>43188</v>
      </c>
      <c r="B1216" s="14" t="s">
        <v>1231</v>
      </c>
      <c r="C1216" s="14"/>
      <c r="D1216" s="14"/>
      <c r="E1216" s="1">
        <v>52</v>
      </c>
      <c r="F1216" s="1">
        <f t="shared" si="44"/>
        <v>48.25</v>
      </c>
      <c r="G1216" s="1">
        <v>35</v>
      </c>
      <c r="H1216" s="1">
        <f t="shared" si="45"/>
        <v>38.75</v>
      </c>
      <c r="I1216" s="1">
        <v>58</v>
      </c>
      <c r="J1216" s="1">
        <f t="shared" si="46"/>
        <v>53.75</v>
      </c>
      <c r="M1216" s="1">
        <v>22</v>
      </c>
      <c r="P1216" s="2" t="s">
        <v>551</v>
      </c>
      <c r="Q1216" s="2" t="s">
        <v>551</v>
      </c>
      <c r="R1216" s="2" t="s">
        <v>551</v>
      </c>
      <c r="S1216" s="1">
        <v>13</v>
      </c>
    </row>
    <row r="1217" spans="1:19" x14ac:dyDescent="0.25">
      <c r="A1217" s="12">
        <v>43195</v>
      </c>
      <c r="B1217" s="14" t="s">
        <v>1232</v>
      </c>
      <c r="C1217" s="14"/>
      <c r="D1217" s="14"/>
      <c r="E1217" s="1">
        <v>58</v>
      </c>
      <c r="F1217" s="1">
        <f t="shared" si="44"/>
        <v>51.75</v>
      </c>
      <c r="G1217" s="1">
        <v>36</v>
      </c>
      <c r="H1217" s="1">
        <f t="shared" si="45"/>
        <v>39.25</v>
      </c>
      <c r="I1217" s="1">
        <v>55</v>
      </c>
      <c r="J1217" s="1">
        <f t="shared" si="46"/>
        <v>53.5</v>
      </c>
      <c r="M1217" s="1">
        <v>23</v>
      </c>
      <c r="P1217" s="2" t="s">
        <v>551</v>
      </c>
      <c r="Q1217" s="2" t="s">
        <v>551</v>
      </c>
      <c r="R1217" s="2" t="s">
        <v>551</v>
      </c>
      <c r="S1217" s="1">
        <v>14</v>
      </c>
    </row>
    <row r="1218" spans="1:19" x14ac:dyDescent="0.25">
      <c r="A1218" s="12">
        <v>43202</v>
      </c>
      <c r="B1218" s="14" t="s">
        <v>1233</v>
      </c>
      <c r="C1218" s="14"/>
      <c r="D1218" s="14"/>
      <c r="E1218" s="1">
        <v>51</v>
      </c>
      <c r="F1218" s="1">
        <f t="shared" si="44"/>
        <v>42.25</v>
      </c>
      <c r="G1218" s="1">
        <v>40</v>
      </c>
      <c r="H1218" s="1">
        <f t="shared" si="45"/>
        <v>40.5</v>
      </c>
      <c r="I1218" s="1">
        <v>57</v>
      </c>
      <c r="J1218" s="1">
        <f t="shared" si="46"/>
        <v>52.5</v>
      </c>
      <c r="M1218" s="1">
        <v>28</v>
      </c>
      <c r="P1218" s="2" t="s">
        <v>551</v>
      </c>
      <c r="Q1218" s="2" t="s">
        <v>551</v>
      </c>
      <c r="R1218" s="2" t="s">
        <v>551</v>
      </c>
      <c r="S1218" s="1">
        <v>15</v>
      </c>
    </row>
    <row r="1219" spans="1:19" x14ac:dyDescent="0.25">
      <c r="A1219" s="12">
        <v>43209</v>
      </c>
      <c r="B1219" s="14" t="s">
        <v>1234</v>
      </c>
      <c r="C1219" s="14"/>
      <c r="D1219" s="14"/>
      <c r="E1219" s="1">
        <v>55</v>
      </c>
      <c r="F1219" s="1">
        <f t="shared" si="44"/>
        <v>40.75</v>
      </c>
      <c r="G1219" s="1">
        <v>37</v>
      </c>
      <c r="H1219" s="1">
        <f t="shared" si="45"/>
        <v>34.5</v>
      </c>
      <c r="I1219" s="1">
        <v>50</v>
      </c>
      <c r="J1219" s="1">
        <f t="shared" si="46"/>
        <v>48</v>
      </c>
      <c r="M1219" s="1">
        <v>28</v>
      </c>
      <c r="P1219" s="2" t="s">
        <v>551</v>
      </c>
      <c r="Q1219" s="2" t="s">
        <v>551</v>
      </c>
      <c r="R1219" s="2" t="s">
        <v>551</v>
      </c>
      <c r="S1219" s="1">
        <v>16</v>
      </c>
    </row>
    <row r="1220" spans="1:19" x14ac:dyDescent="0.25">
      <c r="A1220" s="12">
        <v>43216</v>
      </c>
      <c r="B1220" s="14" t="s">
        <v>1235</v>
      </c>
      <c r="C1220" s="14"/>
      <c r="D1220" s="14"/>
      <c r="E1220" s="1">
        <v>48</v>
      </c>
      <c r="F1220" s="1">
        <f t="shared" si="44"/>
        <v>36.5</v>
      </c>
      <c r="G1220" s="1">
        <v>34</v>
      </c>
      <c r="H1220" s="1">
        <f t="shared" si="45"/>
        <v>35.5</v>
      </c>
      <c r="I1220" s="1">
        <v>43</v>
      </c>
      <c r="J1220" s="1">
        <f t="shared" si="46"/>
        <v>49.75</v>
      </c>
      <c r="M1220" s="1">
        <v>26</v>
      </c>
      <c r="P1220" s="2" t="s">
        <v>551</v>
      </c>
      <c r="Q1220" s="2" t="s">
        <v>551</v>
      </c>
      <c r="R1220" s="2" t="s">
        <v>551</v>
      </c>
      <c r="S1220" s="1">
        <v>17</v>
      </c>
    </row>
    <row r="1221" spans="1:19" x14ac:dyDescent="0.25">
      <c r="A1221" s="12">
        <v>43223</v>
      </c>
      <c r="B1221" s="14" t="s">
        <v>1236</v>
      </c>
      <c r="C1221" s="14"/>
      <c r="D1221" s="14"/>
      <c r="E1221" s="1">
        <v>43</v>
      </c>
      <c r="F1221" s="1">
        <f t="shared" si="44"/>
        <v>36.25</v>
      </c>
      <c r="G1221" s="1">
        <v>33</v>
      </c>
      <c r="H1221" s="1">
        <f t="shared" si="45"/>
        <v>35.25</v>
      </c>
      <c r="I1221" s="1">
        <v>40</v>
      </c>
      <c r="J1221" s="1">
        <f t="shared" si="46"/>
        <v>47</v>
      </c>
      <c r="M1221" s="1">
        <v>30</v>
      </c>
      <c r="P1221" s="2" t="s">
        <v>551</v>
      </c>
      <c r="Q1221" s="2" t="s">
        <v>551</v>
      </c>
      <c r="R1221" s="2" t="s">
        <v>551</v>
      </c>
      <c r="S1221" s="1">
        <v>18</v>
      </c>
    </row>
    <row r="1222" spans="1:19" x14ac:dyDescent="0.25">
      <c r="A1222" s="12">
        <v>43230</v>
      </c>
      <c r="B1222" s="14" t="s">
        <v>1237</v>
      </c>
      <c r="C1222" s="14"/>
      <c r="D1222" s="14"/>
      <c r="E1222" s="1">
        <v>34</v>
      </c>
      <c r="F1222" s="1">
        <f t="shared" si="44"/>
        <v>33.25</v>
      </c>
      <c r="G1222" s="1">
        <v>36</v>
      </c>
      <c r="H1222" s="1">
        <f t="shared" si="45"/>
        <v>31.75</v>
      </c>
      <c r="I1222" s="1">
        <v>49</v>
      </c>
      <c r="J1222" s="1">
        <f t="shared" si="46"/>
        <v>47</v>
      </c>
      <c r="M1222" s="1">
        <v>28</v>
      </c>
      <c r="P1222" s="2" t="s">
        <v>551</v>
      </c>
      <c r="Q1222" s="2" t="s">
        <v>551</v>
      </c>
      <c r="R1222" s="2" t="s">
        <v>551</v>
      </c>
      <c r="S1222" s="1">
        <v>19</v>
      </c>
    </row>
    <row r="1223" spans="1:19" x14ac:dyDescent="0.25">
      <c r="A1223" s="12">
        <v>43237</v>
      </c>
      <c r="B1223" s="14" t="s">
        <v>1238</v>
      </c>
      <c r="C1223" s="14"/>
      <c r="D1223" s="14"/>
      <c r="E1223" s="1">
        <v>39</v>
      </c>
      <c r="F1223" s="1">
        <f t="shared" si="44"/>
        <v>33.75</v>
      </c>
      <c r="G1223" s="1">
        <v>32</v>
      </c>
      <c r="H1223" s="1">
        <f t="shared" si="45"/>
        <v>31</v>
      </c>
      <c r="I1223" s="1">
        <v>43</v>
      </c>
      <c r="J1223" s="1">
        <f t="shared" si="46"/>
        <v>45</v>
      </c>
      <c r="M1223" s="1">
        <v>27</v>
      </c>
      <c r="P1223" s="2" t="s">
        <v>551</v>
      </c>
      <c r="Q1223" s="2" t="s">
        <v>551</v>
      </c>
      <c r="R1223" s="2" t="s">
        <v>551</v>
      </c>
      <c r="S1223" s="1">
        <v>20</v>
      </c>
    </row>
    <row r="1224" spans="1:19" x14ac:dyDescent="0.25">
      <c r="A1224" s="12">
        <v>43244</v>
      </c>
      <c r="B1224" s="14" t="s">
        <v>1239</v>
      </c>
      <c r="C1224" s="14"/>
      <c r="D1224" s="14"/>
      <c r="E1224" s="1">
        <v>40</v>
      </c>
      <c r="F1224" s="1">
        <f t="shared" si="44"/>
        <v>35</v>
      </c>
      <c r="G1224" s="1">
        <v>31</v>
      </c>
      <c r="H1224" s="1">
        <f t="shared" si="45"/>
        <v>31.5</v>
      </c>
      <c r="I1224" s="1">
        <v>38</v>
      </c>
      <c r="J1224" s="1">
        <f t="shared" si="46"/>
        <v>48.75</v>
      </c>
      <c r="M1224" s="1">
        <v>18</v>
      </c>
      <c r="P1224" s="2" t="s">
        <v>551</v>
      </c>
      <c r="Q1224" s="2" t="s">
        <v>551</v>
      </c>
      <c r="R1224" s="2" t="s">
        <v>551</v>
      </c>
      <c r="S1224" s="1">
        <v>21</v>
      </c>
    </row>
    <row r="1225" spans="1:19" x14ac:dyDescent="0.25">
      <c r="A1225" s="12">
        <v>43251</v>
      </c>
      <c r="B1225" s="14" t="s">
        <v>1240</v>
      </c>
      <c r="C1225" s="14"/>
      <c r="D1225" s="14"/>
      <c r="E1225" s="1">
        <v>29</v>
      </c>
      <c r="F1225" s="1">
        <f t="shared" si="44"/>
        <v>36</v>
      </c>
      <c r="G1225" s="1">
        <v>28</v>
      </c>
      <c r="H1225" s="1">
        <f t="shared" si="45"/>
        <v>31.25</v>
      </c>
      <c r="I1225" s="1">
        <v>48</v>
      </c>
      <c r="J1225" s="1">
        <f t="shared" si="46"/>
        <v>50.5</v>
      </c>
      <c r="M1225" s="1">
        <v>18</v>
      </c>
      <c r="P1225" s="2" t="s">
        <v>551</v>
      </c>
      <c r="Q1225" s="2" t="s">
        <v>551</v>
      </c>
      <c r="R1225" s="2" t="s">
        <v>551</v>
      </c>
      <c r="S1225" s="1">
        <v>22</v>
      </c>
    </row>
    <row r="1226" spans="1:19" x14ac:dyDescent="0.25">
      <c r="A1226" s="12">
        <v>43258</v>
      </c>
      <c r="B1226" s="14" t="s">
        <v>1241</v>
      </c>
      <c r="C1226" s="14"/>
      <c r="D1226" s="14"/>
      <c r="E1226" s="1">
        <v>31</v>
      </c>
      <c r="F1226" s="1">
        <f t="shared" si="44"/>
        <v>37</v>
      </c>
      <c r="G1226" s="1">
        <v>31</v>
      </c>
      <c r="H1226" s="1">
        <f t="shared" si="45"/>
        <v>32.25</v>
      </c>
      <c r="I1226" s="1">
        <v>42</v>
      </c>
      <c r="J1226" s="1">
        <f t="shared" si="46"/>
        <v>45.5</v>
      </c>
      <c r="M1226" s="1">
        <v>24</v>
      </c>
      <c r="P1226" s="2" t="s">
        <v>551</v>
      </c>
      <c r="Q1226" s="2" t="s">
        <v>551</v>
      </c>
      <c r="R1226" s="2" t="s">
        <v>551</v>
      </c>
      <c r="S1226" s="1">
        <v>23</v>
      </c>
    </row>
    <row r="1227" spans="1:19" x14ac:dyDescent="0.25">
      <c r="A1227" s="12">
        <v>43265</v>
      </c>
      <c r="B1227" s="14" t="s">
        <v>1242</v>
      </c>
      <c r="C1227" s="14"/>
      <c r="D1227" s="14"/>
      <c r="E1227" s="1">
        <v>23</v>
      </c>
      <c r="F1227" s="1">
        <f t="shared" si="44"/>
        <v>30.75</v>
      </c>
      <c r="G1227" s="1">
        <v>30</v>
      </c>
      <c r="H1227" s="1">
        <f t="shared" si="45"/>
        <v>34.75</v>
      </c>
      <c r="I1227" s="1">
        <v>47</v>
      </c>
      <c r="J1227" s="1">
        <f t="shared" si="46"/>
        <v>45.75</v>
      </c>
      <c r="M1227" s="1">
        <v>21</v>
      </c>
      <c r="P1227" s="2" t="s">
        <v>551</v>
      </c>
      <c r="Q1227" s="2" t="s">
        <v>551</v>
      </c>
      <c r="R1227" s="2" t="s">
        <v>551</v>
      </c>
      <c r="S1227" s="1">
        <v>24</v>
      </c>
    </row>
    <row r="1228" spans="1:19" x14ac:dyDescent="0.25">
      <c r="A1228" s="12">
        <v>43272</v>
      </c>
      <c r="B1228" s="14" t="s">
        <v>1243</v>
      </c>
      <c r="C1228" s="14"/>
      <c r="D1228" s="14"/>
      <c r="E1228" s="1">
        <v>27</v>
      </c>
      <c r="F1228" s="1">
        <f t="shared" si="44"/>
        <v>34</v>
      </c>
      <c r="G1228" s="1">
        <v>29</v>
      </c>
      <c r="H1228" s="1">
        <f t="shared" si="45"/>
        <v>31</v>
      </c>
      <c r="I1228" s="1">
        <v>46</v>
      </c>
      <c r="J1228" s="1">
        <f t="shared" si="46"/>
        <v>46.5</v>
      </c>
      <c r="M1228" s="1">
        <v>21</v>
      </c>
      <c r="P1228" s="2" t="s">
        <v>551</v>
      </c>
      <c r="Q1228" s="2" t="s">
        <v>551</v>
      </c>
      <c r="R1228" s="2" t="s">
        <v>551</v>
      </c>
      <c r="S1228" s="1">
        <v>25</v>
      </c>
    </row>
    <row r="1229" spans="1:19" x14ac:dyDescent="0.25">
      <c r="A1229" s="12">
        <v>43279</v>
      </c>
      <c r="B1229" s="14" t="s">
        <v>1244</v>
      </c>
      <c r="C1229" s="14"/>
      <c r="D1229" s="14"/>
      <c r="E1229" s="1">
        <v>33</v>
      </c>
      <c r="F1229" s="1">
        <f t="shared" si="44"/>
        <v>32.25</v>
      </c>
      <c r="G1229" s="1">
        <v>32</v>
      </c>
      <c r="H1229" s="1">
        <f t="shared" si="45"/>
        <v>30.25</v>
      </c>
      <c r="I1229" s="1">
        <v>40</v>
      </c>
      <c r="J1229" s="1">
        <f t="shared" si="46"/>
        <v>50.25</v>
      </c>
      <c r="M1229" s="1">
        <v>17</v>
      </c>
      <c r="P1229" s="2" t="s">
        <v>551</v>
      </c>
      <c r="Q1229" s="2" t="s">
        <v>551</v>
      </c>
      <c r="R1229" s="2" t="s">
        <v>551</v>
      </c>
      <c r="S1229" s="1">
        <v>26</v>
      </c>
    </row>
    <row r="1230" spans="1:19" x14ac:dyDescent="0.25">
      <c r="A1230" s="12">
        <v>43286</v>
      </c>
      <c r="B1230" s="14" t="s">
        <v>1245</v>
      </c>
      <c r="C1230" s="14"/>
      <c r="D1230" s="14"/>
      <c r="E1230" s="1">
        <v>33</v>
      </c>
      <c r="F1230" s="1">
        <f t="shared" si="44"/>
        <v>31.75</v>
      </c>
      <c r="G1230" s="1">
        <v>24</v>
      </c>
      <c r="H1230" s="1">
        <f t="shared" si="45"/>
        <v>31.75</v>
      </c>
      <c r="I1230" s="1">
        <v>42</v>
      </c>
      <c r="J1230" s="1">
        <f t="shared" si="46"/>
        <v>49.5</v>
      </c>
      <c r="M1230" s="1">
        <v>15</v>
      </c>
      <c r="P1230" s="2" t="s">
        <v>551</v>
      </c>
      <c r="Q1230" s="2" t="s">
        <v>551</v>
      </c>
      <c r="R1230" s="2" t="s">
        <v>551</v>
      </c>
      <c r="S1230" s="1">
        <v>27</v>
      </c>
    </row>
    <row r="1231" spans="1:19" x14ac:dyDescent="0.25">
      <c r="A1231" s="12">
        <v>43293</v>
      </c>
      <c r="B1231" s="14" t="s">
        <v>1246</v>
      </c>
      <c r="C1231" s="14"/>
      <c r="D1231" s="14"/>
      <c r="E1231" s="1">
        <v>28</v>
      </c>
      <c r="F1231" s="1">
        <f t="shared" si="44"/>
        <v>34.25</v>
      </c>
      <c r="G1231" s="1">
        <v>28</v>
      </c>
      <c r="H1231" s="1">
        <f t="shared" si="45"/>
        <v>34.25</v>
      </c>
      <c r="I1231" s="1">
        <v>48</v>
      </c>
      <c r="J1231" s="1">
        <f t="shared" si="46"/>
        <v>52.5</v>
      </c>
      <c r="M1231" s="1">
        <v>12</v>
      </c>
      <c r="P1231" s="2" t="s">
        <v>551</v>
      </c>
      <c r="Q1231" s="2" t="s">
        <v>551</v>
      </c>
      <c r="R1231" s="2" t="s">
        <v>551</v>
      </c>
      <c r="S1231" s="1">
        <v>28</v>
      </c>
    </row>
    <row r="1232" spans="1:19" x14ac:dyDescent="0.25">
      <c r="A1232" s="12">
        <v>43300</v>
      </c>
      <c r="B1232" s="14" t="s">
        <v>1247</v>
      </c>
      <c r="C1232" s="14"/>
      <c r="D1232" s="14"/>
      <c r="E1232" s="1">
        <v>30</v>
      </c>
      <c r="F1232" s="1">
        <f t="shared" si="44"/>
        <v>44.25</v>
      </c>
      <c r="G1232" s="1">
        <v>34</v>
      </c>
      <c r="H1232" s="1">
        <f t="shared" si="45"/>
        <v>32</v>
      </c>
      <c r="I1232" s="1">
        <v>56</v>
      </c>
      <c r="J1232" s="1">
        <f t="shared" si="46"/>
        <v>50</v>
      </c>
      <c r="M1232" s="1">
        <v>11</v>
      </c>
      <c r="P1232" s="2" t="s">
        <v>551</v>
      </c>
      <c r="Q1232" s="2" t="s">
        <v>551</v>
      </c>
      <c r="R1232" s="2" t="s">
        <v>551</v>
      </c>
      <c r="S1232" s="1">
        <v>29</v>
      </c>
    </row>
    <row r="1233" spans="1:19" x14ac:dyDescent="0.25">
      <c r="A1233" s="12">
        <v>43307</v>
      </c>
      <c r="B1233" s="14" t="s">
        <v>1248</v>
      </c>
      <c r="C1233" s="14"/>
      <c r="D1233" s="14"/>
      <c r="E1233" s="1">
        <v>28</v>
      </c>
      <c r="F1233" s="1">
        <f t="shared" si="44"/>
        <v>41.5</v>
      </c>
      <c r="G1233" s="1">
        <v>38</v>
      </c>
      <c r="H1233" s="1">
        <f t="shared" si="45"/>
        <v>36.5</v>
      </c>
      <c r="I1233" s="1">
        <v>44</v>
      </c>
      <c r="J1233" s="1">
        <f t="shared" si="46"/>
        <v>50</v>
      </c>
      <c r="M1233" s="1">
        <v>13</v>
      </c>
      <c r="P1233" s="2" t="s">
        <v>551</v>
      </c>
      <c r="Q1233" s="2" t="s">
        <v>551</v>
      </c>
      <c r="R1233" s="2" t="s">
        <v>551</v>
      </c>
      <c r="S1233" s="1">
        <v>30</v>
      </c>
    </row>
    <row r="1234" spans="1:19" x14ac:dyDescent="0.25">
      <c r="A1234" s="12">
        <v>43314</v>
      </c>
      <c r="B1234" s="14" t="s">
        <v>1249</v>
      </c>
      <c r="C1234" s="14"/>
      <c r="D1234" s="14"/>
      <c r="E1234" s="1">
        <v>29</v>
      </c>
      <c r="F1234" s="1">
        <f t="shared" si="44"/>
        <v>42</v>
      </c>
      <c r="G1234" s="1">
        <v>29</v>
      </c>
      <c r="H1234" s="1">
        <f t="shared" si="45"/>
        <v>40</v>
      </c>
      <c r="I1234" s="1">
        <v>46</v>
      </c>
      <c r="J1234" s="1">
        <f t="shared" si="46"/>
        <v>59.25</v>
      </c>
      <c r="M1234" s="1">
        <v>12</v>
      </c>
      <c r="P1234" s="2" t="s">
        <v>551</v>
      </c>
      <c r="Q1234" s="2" t="s">
        <v>551</v>
      </c>
      <c r="R1234" s="2" t="s">
        <v>551</v>
      </c>
      <c r="S1234" s="1">
        <v>31</v>
      </c>
    </row>
    <row r="1235" spans="1:19" x14ac:dyDescent="0.25">
      <c r="A1235" s="12">
        <v>43321</v>
      </c>
      <c r="B1235" s="14" t="s">
        <v>1250</v>
      </c>
      <c r="C1235" s="14"/>
      <c r="D1235" s="14"/>
      <c r="E1235" s="1">
        <v>27</v>
      </c>
      <c r="F1235" s="1">
        <f t="shared" si="44"/>
        <v>37</v>
      </c>
      <c r="G1235" s="1">
        <v>31</v>
      </c>
      <c r="H1235" s="1">
        <f t="shared" si="45"/>
        <v>37.25</v>
      </c>
      <c r="I1235" s="1">
        <v>55</v>
      </c>
      <c r="J1235" s="1">
        <f t="shared" si="46"/>
        <v>60</v>
      </c>
      <c r="M1235" s="1">
        <v>16</v>
      </c>
      <c r="P1235" s="2" t="s">
        <v>551</v>
      </c>
      <c r="Q1235" s="2" t="s">
        <v>551</v>
      </c>
      <c r="R1235" s="2" t="s">
        <v>551</v>
      </c>
      <c r="S1235" s="1">
        <v>32</v>
      </c>
    </row>
    <row r="1236" spans="1:19" x14ac:dyDescent="0.25">
      <c r="A1236" s="12">
        <v>43328</v>
      </c>
      <c r="B1236" s="14" t="s">
        <v>1251</v>
      </c>
      <c r="C1236" s="14"/>
      <c r="D1236" s="14"/>
      <c r="E1236" s="1">
        <v>29</v>
      </c>
      <c r="F1236" s="1">
        <f t="shared" ref="F1236:F1255" si="47">AVERAGE(E1184,E1132,E1080,E1028)</f>
        <v>37.25</v>
      </c>
      <c r="G1236" s="1">
        <v>30</v>
      </c>
      <c r="H1236" s="1">
        <f t="shared" ref="H1236:H1255" si="48">AVERAGE(G1184,G1132,G1080,G1028)</f>
        <v>36</v>
      </c>
      <c r="I1236" s="1">
        <v>54</v>
      </c>
      <c r="J1236" s="1">
        <f t="shared" ref="J1236:J1255" si="49">AVERAGE(I1184,I1132,I1080,I1028)</f>
        <v>57.5</v>
      </c>
      <c r="M1236" s="1">
        <v>11</v>
      </c>
      <c r="P1236" s="2" t="s">
        <v>551</v>
      </c>
      <c r="Q1236" s="2" t="s">
        <v>551</v>
      </c>
      <c r="R1236" s="2" t="s">
        <v>551</v>
      </c>
      <c r="S1236" s="1">
        <v>33</v>
      </c>
    </row>
    <row r="1237" spans="1:19" x14ac:dyDescent="0.25">
      <c r="A1237" s="12">
        <v>43335</v>
      </c>
      <c r="B1237" s="14" t="s">
        <v>1252</v>
      </c>
      <c r="C1237" s="14"/>
      <c r="D1237" s="14"/>
      <c r="E1237" s="1">
        <v>23</v>
      </c>
      <c r="F1237" s="1">
        <f t="shared" si="47"/>
        <v>39.5</v>
      </c>
      <c r="G1237" s="1">
        <v>34</v>
      </c>
      <c r="H1237" s="1">
        <f t="shared" si="48"/>
        <v>36.25</v>
      </c>
      <c r="I1237" s="1">
        <v>50</v>
      </c>
      <c r="J1237" s="1">
        <f t="shared" si="49"/>
        <v>53</v>
      </c>
      <c r="M1237" s="1">
        <v>13</v>
      </c>
      <c r="P1237" s="2" t="s">
        <v>551</v>
      </c>
      <c r="Q1237" s="2" t="s">
        <v>551</v>
      </c>
      <c r="R1237" s="2" t="s">
        <v>551</v>
      </c>
      <c r="S1237" s="1">
        <v>34</v>
      </c>
    </row>
    <row r="1238" spans="1:19" x14ac:dyDescent="0.25">
      <c r="A1238" s="12">
        <v>43342</v>
      </c>
      <c r="B1238" s="14" t="s">
        <v>1253</v>
      </c>
      <c r="C1238" s="14"/>
      <c r="D1238" s="14"/>
      <c r="E1238" s="1">
        <v>25</v>
      </c>
      <c r="F1238" s="1">
        <f t="shared" si="47"/>
        <v>36.5</v>
      </c>
      <c r="G1238" s="1">
        <v>37</v>
      </c>
      <c r="H1238" s="1">
        <f t="shared" si="48"/>
        <v>38.25</v>
      </c>
      <c r="I1238" s="1">
        <v>57</v>
      </c>
      <c r="J1238" s="1">
        <f t="shared" si="49"/>
        <v>51.25</v>
      </c>
      <c r="M1238" s="1">
        <v>11</v>
      </c>
      <c r="P1238" s="2" t="s">
        <v>551</v>
      </c>
      <c r="Q1238" s="2" t="s">
        <v>551</v>
      </c>
      <c r="R1238" s="2" t="s">
        <v>551</v>
      </c>
      <c r="S1238" s="1">
        <v>35</v>
      </c>
    </row>
    <row r="1239" spans="1:19" x14ac:dyDescent="0.25">
      <c r="A1239" s="12">
        <v>43349</v>
      </c>
      <c r="B1239" s="14" t="s">
        <v>1254</v>
      </c>
      <c r="C1239" s="14"/>
      <c r="D1239" s="14"/>
      <c r="E1239" s="1">
        <v>25</v>
      </c>
      <c r="F1239" s="1">
        <f t="shared" si="47"/>
        <v>34.5</v>
      </c>
      <c r="G1239" s="1">
        <v>31</v>
      </c>
      <c r="H1239" s="1">
        <f t="shared" si="48"/>
        <v>37.5</v>
      </c>
      <c r="I1239" s="1">
        <v>56</v>
      </c>
      <c r="J1239" s="1">
        <f t="shared" si="49"/>
        <v>58.25</v>
      </c>
      <c r="M1239" s="1">
        <v>7</v>
      </c>
      <c r="P1239" s="2" t="s">
        <v>551</v>
      </c>
      <c r="Q1239" s="2" t="s">
        <v>551</v>
      </c>
      <c r="R1239" s="2" t="s">
        <v>551</v>
      </c>
      <c r="S1239" s="1">
        <v>36</v>
      </c>
    </row>
    <row r="1240" spans="1:19" x14ac:dyDescent="0.25">
      <c r="A1240" s="12">
        <v>43356</v>
      </c>
      <c r="B1240" s="14" t="s">
        <v>1255</v>
      </c>
      <c r="C1240" s="14"/>
      <c r="D1240" s="14"/>
      <c r="E1240" s="1">
        <v>31</v>
      </c>
      <c r="F1240" s="1">
        <f t="shared" si="47"/>
        <v>39.5</v>
      </c>
      <c r="G1240" s="1">
        <v>33</v>
      </c>
      <c r="H1240" s="1">
        <f t="shared" si="48"/>
        <v>36.75</v>
      </c>
      <c r="I1240" s="1">
        <v>56</v>
      </c>
      <c r="J1240" s="1">
        <f t="shared" si="49"/>
        <v>62</v>
      </c>
      <c r="M1240" s="1">
        <v>8</v>
      </c>
      <c r="P1240" s="2" t="s">
        <v>551</v>
      </c>
      <c r="Q1240" s="2" t="s">
        <v>551</v>
      </c>
      <c r="R1240" s="2" t="s">
        <v>551</v>
      </c>
      <c r="S1240" s="1">
        <v>37</v>
      </c>
    </row>
    <row r="1241" spans="1:19" x14ac:dyDescent="0.25">
      <c r="A1241" s="12">
        <v>43363</v>
      </c>
      <c r="B1241" s="14" t="s">
        <v>1256</v>
      </c>
      <c r="C1241" s="14"/>
      <c r="D1241" s="14"/>
      <c r="E1241" s="1">
        <v>29</v>
      </c>
      <c r="F1241" s="1">
        <f t="shared" si="47"/>
        <v>46.75</v>
      </c>
      <c r="G1241" s="1">
        <v>37</v>
      </c>
      <c r="H1241" s="1">
        <f t="shared" si="48"/>
        <v>39.25</v>
      </c>
      <c r="I1241" s="1">
        <v>61</v>
      </c>
      <c r="J1241" s="1">
        <f t="shared" si="49"/>
        <v>61.25</v>
      </c>
      <c r="M1241" s="1">
        <v>12</v>
      </c>
      <c r="P1241" s="2" t="s">
        <v>551</v>
      </c>
      <c r="Q1241" s="2" t="s">
        <v>551</v>
      </c>
      <c r="R1241" s="2" t="s">
        <v>551</v>
      </c>
      <c r="S1241" s="1">
        <v>38</v>
      </c>
    </row>
    <row r="1242" spans="1:19" x14ac:dyDescent="0.25">
      <c r="A1242" s="12">
        <v>43370</v>
      </c>
      <c r="B1242" s="14" t="s">
        <v>1257</v>
      </c>
      <c r="C1242" s="1">
        <v>12</v>
      </c>
      <c r="D1242" s="1">
        <v>23</v>
      </c>
      <c r="E1242" s="1">
        <v>35</v>
      </c>
      <c r="F1242" s="1">
        <f t="shared" si="47"/>
        <v>48.25</v>
      </c>
      <c r="G1242" s="1">
        <v>32</v>
      </c>
      <c r="H1242" s="1">
        <f t="shared" si="48"/>
        <v>41.75</v>
      </c>
      <c r="I1242" s="1">
        <v>63</v>
      </c>
      <c r="J1242" s="1">
        <f t="shared" si="49"/>
        <v>66.5</v>
      </c>
      <c r="K1242" s="1">
        <v>4</v>
      </c>
      <c r="L1242" s="1">
        <v>7</v>
      </c>
      <c r="M1242" s="1">
        <v>11</v>
      </c>
      <c r="P1242" s="2" t="s">
        <v>551</v>
      </c>
      <c r="Q1242" s="2" t="s">
        <v>551</v>
      </c>
      <c r="R1242" s="2" t="s">
        <v>551</v>
      </c>
      <c r="S1242" s="1">
        <v>39</v>
      </c>
    </row>
    <row r="1243" spans="1:19" x14ac:dyDescent="0.25">
      <c r="A1243" s="12">
        <v>43377</v>
      </c>
      <c r="B1243" s="14" t="s">
        <v>1258</v>
      </c>
      <c r="C1243" s="1">
        <v>14</v>
      </c>
      <c r="D1243" s="1">
        <v>29</v>
      </c>
      <c r="E1243" s="1">
        <v>43</v>
      </c>
      <c r="F1243" s="1">
        <f t="shared" si="47"/>
        <v>47.75</v>
      </c>
      <c r="G1243" s="1">
        <v>31</v>
      </c>
      <c r="H1243" s="1">
        <f t="shared" si="48"/>
        <v>41.75</v>
      </c>
      <c r="I1243" s="1">
        <v>61</v>
      </c>
      <c r="J1243" s="1">
        <f t="shared" si="49"/>
        <v>73.75</v>
      </c>
      <c r="K1243" s="1">
        <v>3</v>
      </c>
      <c r="L1243" s="1">
        <v>6</v>
      </c>
      <c r="M1243" s="1">
        <v>9</v>
      </c>
      <c r="P1243" s="2" t="s">
        <v>551</v>
      </c>
      <c r="Q1243" s="2" t="s">
        <v>551</v>
      </c>
      <c r="R1243" s="2" t="s">
        <v>551</v>
      </c>
      <c r="S1243" s="1">
        <v>40</v>
      </c>
    </row>
    <row r="1244" spans="1:19" x14ac:dyDescent="0.25">
      <c r="A1244" s="12">
        <v>43384</v>
      </c>
      <c r="B1244" s="14" t="s">
        <v>1259</v>
      </c>
      <c r="C1244" s="1">
        <v>12</v>
      </c>
      <c r="D1244" s="1">
        <v>23</v>
      </c>
      <c r="E1244" s="1">
        <v>36</v>
      </c>
      <c r="F1244" s="1">
        <f t="shared" si="47"/>
        <v>51.75</v>
      </c>
      <c r="G1244" s="1">
        <v>39</v>
      </c>
      <c r="H1244" s="1">
        <f t="shared" si="48"/>
        <v>42.75</v>
      </c>
      <c r="I1244" s="1">
        <v>64</v>
      </c>
      <c r="J1244" s="1">
        <f t="shared" si="49"/>
        <v>65.5</v>
      </c>
      <c r="K1244" s="1">
        <v>4</v>
      </c>
      <c r="L1244" s="1">
        <v>0</v>
      </c>
      <c r="M1244" s="1">
        <v>4</v>
      </c>
      <c r="P1244" s="2" t="s">
        <v>551</v>
      </c>
      <c r="Q1244" s="2" t="s">
        <v>551</v>
      </c>
      <c r="R1244" s="2" t="s">
        <v>551</v>
      </c>
      <c r="S1244" s="1">
        <v>41</v>
      </c>
    </row>
    <row r="1245" spans="1:19" x14ac:dyDescent="0.25">
      <c r="A1245" s="12">
        <v>43391</v>
      </c>
      <c r="B1245" s="14" t="s">
        <v>1260</v>
      </c>
      <c r="C1245" s="1">
        <v>10</v>
      </c>
      <c r="D1245" s="1">
        <v>34</v>
      </c>
      <c r="E1245" s="1">
        <v>44</v>
      </c>
      <c r="F1245" s="1">
        <f t="shared" si="47"/>
        <v>56.25</v>
      </c>
      <c r="G1245" s="1">
        <v>38</v>
      </c>
      <c r="H1245" s="1">
        <f t="shared" si="48"/>
        <v>42.75</v>
      </c>
      <c r="I1245" s="1">
        <v>62</v>
      </c>
      <c r="J1245" s="1">
        <f t="shared" si="49"/>
        <v>58.75</v>
      </c>
      <c r="K1245" s="1">
        <v>3</v>
      </c>
      <c r="L1245" s="1">
        <v>6</v>
      </c>
      <c r="M1245" s="1">
        <v>9</v>
      </c>
      <c r="P1245" s="2" t="s">
        <v>551</v>
      </c>
      <c r="Q1245" s="2" t="s">
        <v>551</v>
      </c>
      <c r="R1245" s="2" t="s">
        <v>551</v>
      </c>
      <c r="S1245" s="1">
        <v>42</v>
      </c>
    </row>
    <row r="1246" spans="1:19" x14ac:dyDescent="0.25">
      <c r="A1246" s="12">
        <v>43398</v>
      </c>
      <c r="B1246" s="14" t="s">
        <v>1261</v>
      </c>
      <c r="C1246" s="1">
        <v>13</v>
      </c>
      <c r="D1246" s="1">
        <v>38</v>
      </c>
      <c r="E1246" s="1">
        <v>51</v>
      </c>
      <c r="F1246" s="1">
        <f t="shared" si="47"/>
        <v>50.25</v>
      </c>
      <c r="G1246" s="1">
        <v>33</v>
      </c>
      <c r="H1246" s="1">
        <f t="shared" si="48"/>
        <v>40</v>
      </c>
      <c r="I1246" s="1">
        <v>52</v>
      </c>
      <c r="J1246" s="1">
        <f t="shared" si="49"/>
        <v>66.5</v>
      </c>
      <c r="K1246" s="1">
        <v>5</v>
      </c>
      <c r="L1246" s="1">
        <v>5</v>
      </c>
      <c r="M1246" s="1">
        <v>10</v>
      </c>
      <c r="P1246" s="2" t="s">
        <v>551</v>
      </c>
      <c r="Q1246" s="2" t="s">
        <v>551</v>
      </c>
      <c r="R1246" s="2" t="s">
        <v>551</v>
      </c>
      <c r="S1246" s="1">
        <v>43</v>
      </c>
    </row>
    <row r="1247" spans="1:19" x14ac:dyDescent="0.25">
      <c r="A1247" s="12">
        <v>43405</v>
      </c>
      <c r="B1247" s="14" t="s">
        <v>1262</v>
      </c>
      <c r="C1247" s="1">
        <v>13</v>
      </c>
      <c r="D1247" s="1">
        <v>35</v>
      </c>
      <c r="E1247" s="1">
        <v>48</v>
      </c>
      <c r="F1247" s="1">
        <f t="shared" si="47"/>
        <v>53.75</v>
      </c>
      <c r="G1247" s="1">
        <v>38</v>
      </c>
      <c r="H1247" s="1">
        <f t="shared" si="48"/>
        <v>45.5</v>
      </c>
      <c r="I1247" s="1">
        <v>55</v>
      </c>
      <c r="J1247" s="1">
        <f t="shared" si="49"/>
        <v>65</v>
      </c>
      <c r="K1247" s="1">
        <v>3</v>
      </c>
      <c r="L1247" s="1">
        <v>6</v>
      </c>
      <c r="M1247" s="1">
        <v>9</v>
      </c>
      <c r="P1247" s="2" t="s">
        <v>551</v>
      </c>
      <c r="Q1247" s="2" t="s">
        <v>551</v>
      </c>
      <c r="R1247" s="2" t="s">
        <v>551</v>
      </c>
      <c r="S1247" s="1">
        <v>44</v>
      </c>
    </row>
    <row r="1248" spans="1:19" x14ac:dyDescent="0.25">
      <c r="A1248" s="12">
        <v>43412</v>
      </c>
      <c r="B1248" s="14" t="s">
        <v>1263</v>
      </c>
      <c r="C1248" s="1">
        <v>16</v>
      </c>
      <c r="D1248" s="1">
        <v>31</v>
      </c>
      <c r="E1248" s="1">
        <v>47</v>
      </c>
      <c r="F1248" s="1">
        <f t="shared" si="47"/>
        <v>47.5</v>
      </c>
      <c r="G1248" s="1">
        <v>35</v>
      </c>
      <c r="H1248" s="1">
        <f t="shared" si="48"/>
        <v>45.5</v>
      </c>
      <c r="I1248" s="1">
        <v>53</v>
      </c>
      <c r="J1248" s="1">
        <f t="shared" si="49"/>
        <v>67.25</v>
      </c>
      <c r="K1248" s="1">
        <v>5</v>
      </c>
      <c r="L1248" s="1">
        <v>9</v>
      </c>
      <c r="M1248" s="1">
        <v>14</v>
      </c>
      <c r="P1248" s="2" t="s">
        <v>551</v>
      </c>
      <c r="Q1248" s="2" t="s">
        <v>551</v>
      </c>
      <c r="R1248" s="2" t="s">
        <v>551</v>
      </c>
      <c r="S1248" s="1">
        <v>45</v>
      </c>
    </row>
    <row r="1249" spans="1:19" x14ac:dyDescent="0.25">
      <c r="A1249" s="12">
        <v>43419</v>
      </c>
      <c r="B1249" s="14" t="s">
        <v>1264</v>
      </c>
      <c r="C1249" s="1"/>
      <c r="D1249" s="1"/>
      <c r="E1249" s="1">
        <v>39</v>
      </c>
      <c r="F1249" s="1">
        <f t="shared" si="47"/>
        <v>48.5</v>
      </c>
      <c r="G1249" s="1">
        <v>36</v>
      </c>
      <c r="H1249" s="1">
        <f t="shared" si="48"/>
        <v>43.75</v>
      </c>
      <c r="I1249" s="1">
        <v>59</v>
      </c>
      <c r="J1249" s="1">
        <f t="shared" si="49"/>
        <v>62.5</v>
      </c>
      <c r="M1249" s="1">
        <v>12</v>
      </c>
      <c r="P1249" s="2" t="s">
        <v>551</v>
      </c>
      <c r="Q1249" s="2" t="s">
        <v>551</v>
      </c>
      <c r="R1249" s="2" t="s">
        <v>551</v>
      </c>
      <c r="S1249" s="1">
        <v>46</v>
      </c>
    </row>
    <row r="1250" spans="1:19" x14ac:dyDescent="0.25">
      <c r="A1250" s="12">
        <v>43426</v>
      </c>
      <c r="B1250" s="14" t="s">
        <v>1265</v>
      </c>
      <c r="C1250" s="1"/>
      <c r="D1250" s="1"/>
      <c r="E1250" s="1">
        <v>35</v>
      </c>
      <c r="F1250" s="1">
        <f t="shared" si="47"/>
        <v>44</v>
      </c>
      <c r="G1250" s="1">
        <v>37</v>
      </c>
      <c r="H1250" s="1">
        <f t="shared" si="48"/>
        <v>44.75</v>
      </c>
      <c r="I1250" s="1">
        <v>54</v>
      </c>
      <c r="J1250" s="1">
        <f t="shared" si="49"/>
        <v>64.25</v>
      </c>
      <c r="M1250" s="2" t="s">
        <v>551</v>
      </c>
      <c r="P1250" s="2" t="s">
        <v>551</v>
      </c>
      <c r="Q1250" s="2" t="s">
        <v>551</v>
      </c>
      <c r="R1250" s="2" t="s">
        <v>551</v>
      </c>
      <c r="S1250" s="1">
        <v>47</v>
      </c>
    </row>
    <row r="1251" spans="1:19" x14ac:dyDescent="0.25">
      <c r="A1251" s="12">
        <v>43433</v>
      </c>
      <c r="B1251" s="14" t="s">
        <v>1266</v>
      </c>
      <c r="C1251" s="1">
        <v>13</v>
      </c>
      <c r="D1251" s="1">
        <v>15</v>
      </c>
      <c r="E1251" s="1">
        <v>28</v>
      </c>
      <c r="F1251" s="1">
        <f t="shared" si="47"/>
        <v>45</v>
      </c>
      <c r="G1251" s="1">
        <v>40</v>
      </c>
      <c r="H1251" s="1">
        <f t="shared" si="48"/>
        <v>45</v>
      </c>
      <c r="I1251" s="1">
        <v>57</v>
      </c>
      <c r="J1251" s="1">
        <f t="shared" si="49"/>
        <v>60.75</v>
      </c>
      <c r="K1251" s="1">
        <v>4</v>
      </c>
      <c r="L1251" s="1">
        <v>13</v>
      </c>
      <c r="M1251" s="1">
        <v>17</v>
      </c>
      <c r="P1251" s="2" t="s">
        <v>551</v>
      </c>
      <c r="Q1251" s="2" t="s">
        <v>551</v>
      </c>
      <c r="R1251" s="2" t="s">
        <v>551</v>
      </c>
      <c r="S1251" s="1">
        <v>48</v>
      </c>
    </row>
    <row r="1252" spans="1:19" x14ac:dyDescent="0.25">
      <c r="A1252" s="12">
        <v>43440</v>
      </c>
      <c r="B1252" s="14" t="s">
        <v>1267</v>
      </c>
      <c r="C1252" s="1">
        <v>11</v>
      </c>
      <c r="D1252" s="1">
        <v>15</v>
      </c>
      <c r="E1252" s="1">
        <v>26</v>
      </c>
      <c r="F1252" s="1">
        <f t="shared" si="47"/>
        <v>38</v>
      </c>
      <c r="G1252" s="1">
        <v>31</v>
      </c>
      <c r="H1252" s="1">
        <f t="shared" si="48"/>
        <v>43.25</v>
      </c>
      <c r="I1252" s="1">
        <v>64</v>
      </c>
      <c r="J1252" s="1">
        <f t="shared" si="49"/>
        <v>75.25</v>
      </c>
      <c r="M1252" s="1">
        <v>18</v>
      </c>
      <c r="P1252" s="2" t="s">
        <v>551</v>
      </c>
      <c r="Q1252" s="2" t="s">
        <v>551</v>
      </c>
      <c r="R1252" s="2" t="s">
        <v>551</v>
      </c>
      <c r="S1252" s="1">
        <v>49</v>
      </c>
    </row>
    <row r="1253" spans="1:19" x14ac:dyDescent="0.25">
      <c r="A1253" s="12">
        <v>43447</v>
      </c>
      <c r="B1253" s="14" t="s">
        <v>1268</v>
      </c>
      <c r="C1253" s="1"/>
      <c r="D1253" s="1"/>
      <c r="E1253" s="1">
        <v>23</v>
      </c>
      <c r="F1253" s="1">
        <f t="shared" si="47"/>
        <v>40</v>
      </c>
      <c r="G1253" s="1">
        <v>33</v>
      </c>
      <c r="H1253" s="1">
        <f t="shared" si="48"/>
        <v>45.25</v>
      </c>
      <c r="I1253" s="1">
        <v>66</v>
      </c>
      <c r="J1253" s="1">
        <f t="shared" si="49"/>
        <v>65.5</v>
      </c>
      <c r="M1253" s="1">
        <v>15</v>
      </c>
      <c r="P1253" s="2" t="s">
        <v>551</v>
      </c>
      <c r="Q1253" s="2" t="s">
        <v>551</v>
      </c>
      <c r="R1253" s="2" t="s">
        <v>551</v>
      </c>
      <c r="S1253" s="1">
        <v>50</v>
      </c>
    </row>
    <row r="1254" spans="1:19" x14ac:dyDescent="0.25">
      <c r="A1254" s="12">
        <v>43454</v>
      </c>
      <c r="B1254" s="14" t="s">
        <v>1269</v>
      </c>
      <c r="C1254" s="1">
        <v>13</v>
      </c>
      <c r="D1254" s="1">
        <v>28</v>
      </c>
      <c r="E1254" s="1">
        <v>41</v>
      </c>
      <c r="F1254" s="1">
        <f t="shared" si="47"/>
        <v>48.25</v>
      </c>
      <c r="G1254" s="1">
        <v>31</v>
      </c>
      <c r="H1254" s="1">
        <f t="shared" si="48"/>
        <v>39.75</v>
      </c>
      <c r="I1254" s="1">
        <v>57</v>
      </c>
      <c r="J1254" s="1">
        <f t="shared" si="49"/>
        <v>53.5</v>
      </c>
      <c r="K1254" s="1">
        <v>5</v>
      </c>
      <c r="L1254" s="1">
        <v>9</v>
      </c>
      <c r="M1254" s="1">
        <v>14</v>
      </c>
      <c r="P1254" s="2" t="s">
        <v>551</v>
      </c>
      <c r="Q1254" s="2" t="s">
        <v>551</v>
      </c>
      <c r="R1254" s="2" t="s">
        <v>551</v>
      </c>
      <c r="S1254" s="1">
        <v>51</v>
      </c>
    </row>
    <row r="1255" spans="1:19" x14ac:dyDescent="0.25">
      <c r="A1255" s="12">
        <v>43461</v>
      </c>
      <c r="B1255" s="14" t="s">
        <v>1270</v>
      </c>
      <c r="C1255" s="1">
        <v>14</v>
      </c>
      <c r="D1255" s="1">
        <v>25</v>
      </c>
      <c r="E1255" s="1">
        <v>39</v>
      </c>
      <c r="F1255" s="1">
        <f t="shared" si="47"/>
        <v>45.25</v>
      </c>
      <c r="G1255" s="1">
        <v>29</v>
      </c>
      <c r="H1255" s="1">
        <f t="shared" si="48"/>
        <v>38.75</v>
      </c>
      <c r="I1255" s="1">
        <v>48</v>
      </c>
      <c r="J1255" s="1">
        <f t="shared" si="49"/>
        <v>62.75</v>
      </c>
      <c r="K1255" s="1">
        <v>4</v>
      </c>
      <c r="L1255" s="1">
        <v>11</v>
      </c>
      <c r="M1255" s="1">
        <v>15</v>
      </c>
      <c r="P1255" s="2" t="s">
        <v>551</v>
      </c>
      <c r="Q1255" s="2" t="s">
        <v>551</v>
      </c>
      <c r="R1255" s="2" t="s">
        <v>551</v>
      </c>
      <c r="S1255" s="1">
        <v>52</v>
      </c>
    </row>
    <row r="1256" spans="1:19" x14ac:dyDescent="0.25">
      <c r="A1256" s="12">
        <v>43468</v>
      </c>
      <c r="B1256" s="14" t="s">
        <v>1271</v>
      </c>
      <c r="C1256" s="1">
        <v>10</v>
      </c>
      <c r="D1256" s="1">
        <v>18</v>
      </c>
      <c r="E1256" s="1">
        <v>28</v>
      </c>
      <c r="F1256" s="1">
        <f t="shared" ref="F1256:F1267" si="50">AVERAGE(E1204,E1152,E1100,E1048)</f>
        <v>43.5</v>
      </c>
      <c r="G1256" s="1">
        <v>30</v>
      </c>
      <c r="H1256" s="1">
        <f t="shared" ref="H1256:H1267" si="51">AVERAGE(G1204,G1152,G1100,G1048)</f>
        <v>37.75</v>
      </c>
      <c r="I1256" s="1">
        <v>52</v>
      </c>
      <c r="J1256" s="1">
        <f t="shared" ref="J1256:J1267" si="52">AVERAGE(I1204,I1152,I1100,I1048)</f>
        <v>61.75</v>
      </c>
      <c r="K1256" s="1">
        <v>3</v>
      </c>
      <c r="L1256" s="1">
        <v>11</v>
      </c>
      <c r="M1256" s="1">
        <v>14</v>
      </c>
      <c r="P1256" s="2" t="s">
        <v>551</v>
      </c>
      <c r="Q1256" s="2" t="s">
        <v>551</v>
      </c>
      <c r="R1256" s="2" t="s">
        <v>551</v>
      </c>
      <c r="S1256" s="1">
        <v>1</v>
      </c>
    </row>
    <row r="1257" spans="1:19" x14ac:dyDescent="0.25">
      <c r="A1257" s="12">
        <v>43475</v>
      </c>
      <c r="B1257" s="14" t="s">
        <v>1272</v>
      </c>
      <c r="C1257" s="1">
        <v>13</v>
      </c>
      <c r="D1257" s="1">
        <v>22</v>
      </c>
      <c r="E1257" s="1">
        <v>35</v>
      </c>
      <c r="F1257" s="1">
        <f t="shared" si="50"/>
        <v>44.5</v>
      </c>
      <c r="G1257" s="1">
        <v>34</v>
      </c>
      <c r="H1257" s="1">
        <f t="shared" si="51"/>
        <v>41.25</v>
      </c>
      <c r="I1257" s="1">
        <v>62</v>
      </c>
      <c r="J1257" s="1">
        <f t="shared" si="52"/>
        <v>70.5</v>
      </c>
      <c r="K1257" s="1">
        <v>5</v>
      </c>
      <c r="L1257" s="1">
        <v>5</v>
      </c>
      <c r="M1257" s="1">
        <v>10</v>
      </c>
      <c r="P1257" s="2" t="s">
        <v>551</v>
      </c>
      <c r="Q1257" s="2" t="s">
        <v>551</v>
      </c>
      <c r="R1257" s="2" t="s">
        <v>551</v>
      </c>
      <c r="S1257" s="1">
        <v>2</v>
      </c>
    </row>
    <row r="1258" spans="1:19" x14ac:dyDescent="0.25">
      <c r="A1258" s="12">
        <v>43482</v>
      </c>
      <c r="B1258" s="14" t="s">
        <v>1273</v>
      </c>
      <c r="C1258" s="1">
        <v>13</v>
      </c>
      <c r="D1258" s="1">
        <v>36</v>
      </c>
      <c r="E1258" s="1">
        <v>49</v>
      </c>
      <c r="F1258" s="1">
        <f t="shared" si="50"/>
        <v>51</v>
      </c>
      <c r="G1258" s="1">
        <v>37</v>
      </c>
      <c r="H1258" s="1">
        <f t="shared" si="51"/>
        <v>37.5</v>
      </c>
      <c r="I1258" s="1">
        <v>55</v>
      </c>
      <c r="J1258" s="1">
        <f t="shared" si="52"/>
        <v>65.75</v>
      </c>
      <c r="K1258" s="1">
        <v>4</v>
      </c>
      <c r="L1258" s="1">
        <v>6</v>
      </c>
      <c r="M1258" s="1">
        <v>10</v>
      </c>
      <c r="P1258" s="2" t="s">
        <v>551</v>
      </c>
      <c r="Q1258" s="2" t="s">
        <v>551</v>
      </c>
      <c r="R1258" s="2" t="s">
        <v>551</v>
      </c>
      <c r="S1258" s="1">
        <v>3</v>
      </c>
    </row>
    <row r="1259" spans="1:19" x14ac:dyDescent="0.25">
      <c r="A1259" s="12">
        <v>43489</v>
      </c>
      <c r="B1259" s="14" t="s">
        <v>1274</v>
      </c>
      <c r="C1259" s="1">
        <v>13</v>
      </c>
      <c r="D1259" s="1">
        <v>41</v>
      </c>
      <c r="E1259" s="1">
        <v>44</v>
      </c>
      <c r="F1259" s="1">
        <f t="shared" si="50"/>
        <v>55.75</v>
      </c>
      <c r="G1259" s="1">
        <v>35</v>
      </c>
      <c r="H1259" s="1">
        <f t="shared" si="51"/>
        <v>37.75</v>
      </c>
      <c r="I1259" s="1">
        <v>54</v>
      </c>
      <c r="J1259" s="1">
        <f t="shared" si="52"/>
        <v>63</v>
      </c>
      <c r="K1259" s="1">
        <v>4</v>
      </c>
      <c r="L1259" s="1">
        <v>4</v>
      </c>
      <c r="M1259" s="1">
        <v>8</v>
      </c>
      <c r="P1259" s="2" t="s">
        <v>551</v>
      </c>
      <c r="Q1259" s="2" t="s">
        <v>551</v>
      </c>
      <c r="R1259" s="2" t="s">
        <v>551</v>
      </c>
      <c r="S1259" s="1">
        <v>4</v>
      </c>
    </row>
    <row r="1260" spans="1:19" x14ac:dyDescent="0.25">
      <c r="A1260" s="12">
        <v>43496</v>
      </c>
      <c r="B1260" s="14" t="s">
        <v>1275</v>
      </c>
      <c r="C1260" s="1">
        <v>15</v>
      </c>
      <c r="D1260" s="1">
        <v>34</v>
      </c>
      <c r="E1260" s="1">
        <v>49</v>
      </c>
      <c r="F1260" s="1">
        <f t="shared" si="50"/>
        <v>56.25</v>
      </c>
      <c r="G1260" s="1">
        <v>34</v>
      </c>
      <c r="H1260" s="1">
        <f t="shared" si="51"/>
        <v>40.75</v>
      </c>
      <c r="I1260" s="1">
        <v>52</v>
      </c>
      <c r="J1260" s="1">
        <f t="shared" si="52"/>
        <v>62</v>
      </c>
      <c r="K1260" s="1">
        <v>5</v>
      </c>
      <c r="L1260" s="1">
        <v>12</v>
      </c>
      <c r="M1260" s="1">
        <v>17</v>
      </c>
      <c r="P1260" s="2" t="s">
        <v>551</v>
      </c>
      <c r="Q1260" s="2" t="s">
        <v>551</v>
      </c>
      <c r="R1260" s="2" t="s">
        <v>551</v>
      </c>
      <c r="S1260" s="1">
        <v>5</v>
      </c>
    </row>
    <row r="1261" spans="1:19" x14ac:dyDescent="0.25">
      <c r="A1261" s="12">
        <v>43503</v>
      </c>
      <c r="B1261" s="14" t="s">
        <v>1276</v>
      </c>
      <c r="C1261" s="1">
        <v>13</v>
      </c>
      <c r="D1261" s="1">
        <v>33</v>
      </c>
      <c r="E1261" s="1">
        <v>46</v>
      </c>
      <c r="F1261" s="1">
        <f t="shared" si="50"/>
        <v>51.25</v>
      </c>
      <c r="G1261" s="1">
        <v>26</v>
      </c>
      <c r="H1261" s="1">
        <f t="shared" si="51"/>
        <v>43.25</v>
      </c>
      <c r="I1261" s="1">
        <v>69</v>
      </c>
      <c r="J1261" s="1">
        <f t="shared" si="52"/>
        <v>61.75</v>
      </c>
      <c r="K1261" s="1">
        <v>5</v>
      </c>
      <c r="L1261" s="1">
        <v>15</v>
      </c>
      <c r="M1261" s="1">
        <v>20</v>
      </c>
      <c r="P1261" s="2" t="s">
        <v>551</v>
      </c>
      <c r="Q1261" s="2" t="s">
        <v>551</v>
      </c>
      <c r="R1261" s="2" t="s">
        <v>551</v>
      </c>
      <c r="S1261" s="1">
        <v>6</v>
      </c>
    </row>
    <row r="1262" spans="1:19" x14ac:dyDescent="0.25">
      <c r="A1262" s="12">
        <v>43510</v>
      </c>
      <c r="B1262" s="14" t="s">
        <v>1277</v>
      </c>
      <c r="C1262" s="1">
        <v>13</v>
      </c>
      <c r="D1262" s="1">
        <v>22</v>
      </c>
      <c r="E1262" s="1">
        <v>35</v>
      </c>
      <c r="F1262" s="1">
        <f t="shared" si="50"/>
        <v>52.75</v>
      </c>
      <c r="G1262" s="1">
        <v>38</v>
      </c>
      <c r="H1262" s="1">
        <f t="shared" si="51"/>
        <v>39.75</v>
      </c>
      <c r="I1262" s="1">
        <v>69</v>
      </c>
      <c r="J1262" s="1">
        <f t="shared" si="52"/>
        <v>52.25</v>
      </c>
      <c r="K1262" s="1">
        <v>6</v>
      </c>
      <c r="L1262" s="1">
        <v>19</v>
      </c>
      <c r="M1262" s="1">
        <v>25</v>
      </c>
      <c r="P1262" s="2" t="s">
        <v>551</v>
      </c>
      <c r="Q1262" s="2" t="s">
        <v>551</v>
      </c>
      <c r="R1262" s="2" t="s">
        <v>551</v>
      </c>
      <c r="S1262" s="1">
        <v>7</v>
      </c>
    </row>
    <row r="1263" spans="1:19" x14ac:dyDescent="0.25">
      <c r="A1263" s="12">
        <v>43517</v>
      </c>
      <c r="B1263" s="14" t="s">
        <v>1278</v>
      </c>
      <c r="C1263" s="1">
        <v>13</v>
      </c>
      <c r="D1263" s="1">
        <v>32</v>
      </c>
      <c r="E1263" s="1">
        <v>45</v>
      </c>
      <c r="F1263" s="1">
        <f t="shared" si="50"/>
        <v>52.75</v>
      </c>
      <c r="G1263" s="1">
        <v>35</v>
      </c>
      <c r="H1263" s="1">
        <f t="shared" si="51"/>
        <v>40.75</v>
      </c>
      <c r="I1263" s="1">
        <v>65</v>
      </c>
      <c r="J1263" s="1">
        <f t="shared" si="52"/>
        <v>62.5</v>
      </c>
      <c r="K1263" s="1">
        <v>6</v>
      </c>
      <c r="L1263" s="1">
        <v>25</v>
      </c>
      <c r="M1263" s="1">
        <v>31</v>
      </c>
      <c r="P1263" s="2" t="s">
        <v>551</v>
      </c>
      <c r="Q1263" s="2" t="s">
        <v>551</v>
      </c>
      <c r="R1263" s="2" t="s">
        <v>551</v>
      </c>
      <c r="S1263" s="1">
        <v>8</v>
      </c>
    </row>
    <row r="1264" spans="1:19" x14ac:dyDescent="0.25">
      <c r="A1264" s="12">
        <v>43524</v>
      </c>
      <c r="B1264" s="14" t="s">
        <v>1279</v>
      </c>
      <c r="C1264" s="1">
        <v>13</v>
      </c>
      <c r="D1264" s="1">
        <v>23</v>
      </c>
      <c r="E1264" s="1">
        <v>36</v>
      </c>
      <c r="F1264" s="1">
        <f t="shared" si="50"/>
        <v>43.25</v>
      </c>
      <c r="G1264" s="1">
        <v>33</v>
      </c>
      <c r="H1264" s="1">
        <f t="shared" si="51"/>
        <v>42.5</v>
      </c>
      <c r="I1264" s="1">
        <v>67</v>
      </c>
      <c r="J1264" s="1">
        <f t="shared" si="52"/>
        <v>56.75</v>
      </c>
      <c r="K1264" s="1">
        <v>4</v>
      </c>
      <c r="L1264" s="1">
        <v>24</v>
      </c>
      <c r="M1264" s="1">
        <v>28</v>
      </c>
      <c r="P1264" s="2" t="s">
        <v>551</v>
      </c>
      <c r="Q1264" s="2" t="s">
        <v>551</v>
      </c>
      <c r="R1264" s="2" t="s">
        <v>551</v>
      </c>
      <c r="S1264" s="1">
        <v>9</v>
      </c>
    </row>
    <row r="1265" spans="1:19" x14ac:dyDescent="0.25">
      <c r="A1265" s="12">
        <v>43531</v>
      </c>
      <c r="B1265" s="14" t="s">
        <v>1280</v>
      </c>
      <c r="C1265" s="1">
        <v>13</v>
      </c>
      <c r="D1265" s="1">
        <v>34</v>
      </c>
      <c r="E1265" s="1">
        <v>47</v>
      </c>
      <c r="F1265" s="1">
        <f t="shared" si="50"/>
        <v>48.25</v>
      </c>
      <c r="G1265" s="1">
        <v>29</v>
      </c>
      <c r="H1265" s="1">
        <f t="shared" si="51"/>
        <v>38.75</v>
      </c>
      <c r="I1265" s="1">
        <v>58</v>
      </c>
      <c r="J1265" s="1">
        <f t="shared" si="52"/>
        <v>59</v>
      </c>
      <c r="K1265" s="1">
        <v>5</v>
      </c>
      <c r="L1265" s="1">
        <v>23</v>
      </c>
      <c r="M1265" s="1">
        <v>28</v>
      </c>
      <c r="P1265" s="2" t="s">
        <v>551</v>
      </c>
      <c r="Q1265" s="2" t="s">
        <v>551</v>
      </c>
      <c r="R1265" s="2" t="s">
        <v>551</v>
      </c>
      <c r="S1265" s="1">
        <v>10</v>
      </c>
    </row>
    <row r="1266" spans="1:19" x14ac:dyDescent="0.25">
      <c r="A1266" s="12">
        <v>43538</v>
      </c>
      <c r="B1266" s="14" t="s">
        <v>1281</v>
      </c>
      <c r="C1266" s="1">
        <v>15</v>
      </c>
      <c r="D1266" s="1">
        <v>32</v>
      </c>
      <c r="E1266" s="1">
        <v>47</v>
      </c>
      <c r="F1266" s="1">
        <f t="shared" si="50"/>
        <v>44.25</v>
      </c>
      <c r="G1266" s="1">
        <v>30</v>
      </c>
      <c r="H1266" s="1">
        <f t="shared" si="51"/>
        <v>38.5</v>
      </c>
      <c r="I1266" s="1">
        <v>63</v>
      </c>
      <c r="J1266" s="1">
        <f t="shared" si="52"/>
        <v>60</v>
      </c>
      <c r="K1266" s="1">
        <v>5</v>
      </c>
      <c r="L1266" s="1">
        <v>23</v>
      </c>
      <c r="M1266" s="1">
        <v>28</v>
      </c>
      <c r="P1266" s="2" t="s">
        <v>551</v>
      </c>
      <c r="Q1266" s="2" t="s">
        <v>551</v>
      </c>
      <c r="R1266" s="2" t="s">
        <v>551</v>
      </c>
      <c r="S1266" s="1">
        <v>11</v>
      </c>
    </row>
    <row r="1267" spans="1:19" x14ac:dyDescent="0.25">
      <c r="A1267" s="12">
        <v>43545</v>
      </c>
      <c r="B1267" s="14" t="s">
        <v>1282</v>
      </c>
      <c r="C1267" s="1">
        <v>13</v>
      </c>
      <c r="D1267" s="1">
        <v>28</v>
      </c>
      <c r="E1267" s="1">
        <v>41</v>
      </c>
      <c r="F1267" s="1">
        <f t="shared" si="50"/>
        <v>49.5</v>
      </c>
      <c r="G1267" s="1">
        <v>34</v>
      </c>
      <c r="H1267" s="1">
        <f t="shared" si="51"/>
        <v>36.75</v>
      </c>
      <c r="I1267" s="1">
        <v>58</v>
      </c>
      <c r="J1267" s="1">
        <f t="shared" si="52"/>
        <v>52.25</v>
      </c>
      <c r="K1267" s="1">
        <v>4</v>
      </c>
      <c r="L1267" s="1">
        <v>29</v>
      </c>
      <c r="M1267" s="1">
        <v>33</v>
      </c>
      <c r="P1267" s="2" t="s">
        <v>551</v>
      </c>
      <c r="Q1267" s="2" t="s">
        <v>551</v>
      </c>
      <c r="R1267" s="2" t="s">
        <v>551</v>
      </c>
      <c r="S1267" s="1">
        <v>12</v>
      </c>
    </row>
    <row r="1268" spans="1:19" x14ac:dyDescent="0.25">
      <c r="A1268" s="12">
        <v>43552</v>
      </c>
      <c r="B1268" s="14" t="s">
        <v>1283</v>
      </c>
      <c r="C1268" s="1">
        <v>16</v>
      </c>
      <c r="D1268" s="1">
        <v>31</v>
      </c>
      <c r="E1268" s="1">
        <v>47</v>
      </c>
      <c r="F1268" s="1">
        <f t="shared" ref="F1268:F1299" si="53">AVERAGE(E1216,E1164,E1112,E1060)</f>
        <v>44.75</v>
      </c>
      <c r="G1268" s="1">
        <v>37</v>
      </c>
      <c r="H1268" s="1">
        <f t="shared" ref="H1268:H1299" si="54">AVERAGE(G1216,G1164,G1112,G1060)</f>
        <v>37.5</v>
      </c>
      <c r="I1268" s="1">
        <v>42</v>
      </c>
      <c r="J1268" s="1">
        <f t="shared" ref="J1268:J1299" si="55">AVERAGE(I1216,I1164,I1112,I1060)</f>
        <v>52.75</v>
      </c>
      <c r="K1268" s="1">
        <v>5</v>
      </c>
      <c r="L1268" s="1">
        <v>26</v>
      </c>
      <c r="M1268" s="1">
        <v>31</v>
      </c>
      <c r="P1268" s="2" t="s">
        <v>551</v>
      </c>
      <c r="Q1268" s="2" t="s">
        <v>551</v>
      </c>
      <c r="R1268" s="2" t="s">
        <v>551</v>
      </c>
      <c r="S1268" s="1">
        <v>13</v>
      </c>
    </row>
    <row r="1269" spans="1:19" x14ac:dyDescent="0.25">
      <c r="A1269" s="12">
        <v>43559</v>
      </c>
      <c r="B1269" s="14" t="s">
        <v>1284</v>
      </c>
      <c r="C1269" s="1">
        <v>13</v>
      </c>
      <c r="D1269" s="1">
        <v>22</v>
      </c>
      <c r="E1269" s="1">
        <v>35</v>
      </c>
      <c r="F1269" s="1">
        <f t="shared" si="53"/>
        <v>48.25</v>
      </c>
      <c r="G1269" s="1">
        <v>30</v>
      </c>
      <c r="H1269" s="1">
        <f t="shared" si="54"/>
        <v>35.75</v>
      </c>
      <c r="I1269" s="1">
        <v>44</v>
      </c>
      <c r="J1269" s="1">
        <f t="shared" si="55"/>
        <v>54.75</v>
      </c>
      <c r="K1269" s="1">
        <v>6</v>
      </c>
      <c r="L1269" s="1">
        <v>25</v>
      </c>
      <c r="M1269" s="1">
        <v>31</v>
      </c>
      <c r="P1269" s="2" t="s">
        <v>551</v>
      </c>
      <c r="Q1269" s="2" t="s">
        <v>551</v>
      </c>
      <c r="R1269" s="2" t="s">
        <v>551</v>
      </c>
      <c r="S1269" s="1">
        <v>14</v>
      </c>
    </row>
    <row r="1270" spans="1:19" x14ac:dyDescent="0.25">
      <c r="A1270" s="12">
        <v>43566</v>
      </c>
      <c r="B1270" s="14" t="s">
        <v>1285</v>
      </c>
      <c r="C1270" s="1">
        <v>16</v>
      </c>
      <c r="D1270" s="1">
        <v>13</v>
      </c>
      <c r="E1270" s="1">
        <v>29</v>
      </c>
      <c r="F1270" s="1">
        <f t="shared" si="53"/>
        <v>42.5</v>
      </c>
      <c r="G1270" s="1">
        <v>28</v>
      </c>
      <c r="H1270" s="1">
        <f t="shared" si="54"/>
        <v>38.25</v>
      </c>
      <c r="I1270" s="1">
        <v>57</v>
      </c>
      <c r="J1270" s="1">
        <f t="shared" si="55"/>
        <v>56.75</v>
      </c>
      <c r="K1270" s="1">
        <v>5</v>
      </c>
      <c r="L1270" s="1">
        <v>25</v>
      </c>
      <c r="M1270" s="1">
        <v>30</v>
      </c>
      <c r="P1270" s="2" t="s">
        <v>551</v>
      </c>
      <c r="Q1270" s="2" t="s">
        <v>551</v>
      </c>
      <c r="R1270" s="2" t="s">
        <v>551</v>
      </c>
      <c r="S1270" s="1">
        <v>15</v>
      </c>
    </row>
    <row r="1271" spans="1:19" x14ac:dyDescent="0.25">
      <c r="A1271" s="12">
        <v>43573</v>
      </c>
      <c r="B1271" s="14" t="s">
        <v>1286</v>
      </c>
      <c r="C1271" s="1">
        <v>16</v>
      </c>
      <c r="D1271" s="1">
        <v>15</v>
      </c>
      <c r="E1271" s="1">
        <v>31</v>
      </c>
      <c r="F1271" s="1">
        <f t="shared" si="53"/>
        <v>44</v>
      </c>
      <c r="G1271" s="1">
        <v>32</v>
      </c>
      <c r="H1271" s="1">
        <f t="shared" si="54"/>
        <v>34</v>
      </c>
      <c r="I1271" s="1">
        <v>54</v>
      </c>
      <c r="J1271" s="1">
        <f t="shared" si="55"/>
        <v>48</v>
      </c>
      <c r="K1271" s="1">
        <v>3</v>
      </c>
      <c r="L1271" s="1">
        <v>21</v>
      </c>
      <c r="M1271" s="1">
        <v>24</v>
      </c>
      <c r="P1271" s="2" t="s">
        <v>551</v>
      </c>
      <c r="Q1271" s="2" t="s">
        <v>551</v>
      </c>
      <c r="R1271" s="2" t="s">
        <v>551</v>
      </c>
      <c r="S1271" s="1">
        <v>16</v>
      </c>
    </row>
    <row r="1272" spans="1:19" x14ac:dyDescent="0.25">
      <c r="A1272" s="12">
        <v>43580</v>
      </c>
      <c r="B1272" s="14" t="s">
        <v>1287</v>
      </c>
      <c r="C1272" s="1">
        <v>12</v>
      </c>
      <c r="D1272" s="1">
        <v>21</v>
      </c>
      <c r="E1272" s="1">
        <v>33</v>
      </c>
      <c r="F1272" s="1">
        <f t="shared" si="53"/>
        <v>40.25</v>
      </c>
      <c r="G1272" s="1">
        <v>34</v>
      </c>
      <c r="H1272" s="1">
        <f t="shared" si="54"/>
        <v>35</v>
      </c>
      <c r="I1272" s="1">
        <v>49</v>
      </c>
      <c r="J1272" s="1">
        <f t="shared" si="55"/>
        <v>48.75</v>
      </c>
      <c r="K1272" s="1">
        <v>4</v>
      </c>
      <c r="L1272" s="1">
        <v>17</v>
      </c>
      <c r="M1272" s="1">
        <v>21</v>
      </c>
      <c r="P1272" s="2" t="s">
        <v>551</v>
      </c>
      <c r="Q1272" s="2" t="s">
        <v>551</v>
      </c>
      <c r="R1272" s="2" t="s">
        <v>551</v>
      </c>
      <c r="S1272" s="1">
        <v>17</v>
      </c>
    </row>
    <row r="1273" spans="1:19" x14ac:dyDescent="0.25">
      <c r="A1273" s="12">
        <v>43587</v>
      </c>
      <c r="B1273" s="14" t="s">
        <v>1288</v>
      </c>
      <c r="C1273" s="1"/>
      <c r="D1273" s="1"/>
      <c r="E1273" s="1">
        <v>26</v>
      </c>
      <c r="F1273" s="1">
        <f t="shared" si="53"/>
        <v>38</v>
      </c>
      <c r="G1273" s="1">
        <v>27</v>
      </c>
      <c r="H1273" s="1">
        <f t="shared" si="54"/>
        <v>35.25</v>
      </c>
      <c r="I1273" s="1">
        <v>67</v>
      </c>
      <c r="J1273" s="1">
        <f t="shared" si="55"/>
        <v>45.5</v>
      </c>
      <c r="M1273" s="1">
        <v>16</v>
      </c>
      <c r="P1273" s="2" t="s">
        <v>551</v>
      </c>
      <c r="Q1273" s="2" t="s">
        <v>551</v>
      </c>
      <c r="R1273" s="2" t="s">
        <v>551</v>
      </c>
      <c r="S1273" s="1">
        <v>18</v>
      </c>
    </row>
    <row r="1274" spans="1:19" x14ac:dyDescent="0.25">
      <c r="A1274" s="12">
        <v>43594</v>
      </c>
      <c r="B1274" s="14" t="s">
        <v>1289</v>
      </c>
      <c r="C1274" s="1">
        <v>11</v>
      </c>
      <c r="D1274" s="1">
        <v>26</v>
      </c>
      <c r="E1274" s="1">
        <v>37</v>
      </c>
      <c r="F1274" s="1">
        <f t="shared" si="53"/>
        <v>31.25</v>
      </c>
      <c r="G1274" s="1">
        <v>30</v>
      </c>
      <c r="H1274" s="1">
        <f t="shared" si="54"/>
        <v>33.25</v>
      </c>
      <c r="I1274" s="1">
        <v>54</v>
      </c>
      <c r="J1274" s="1">
        <f t="shared" si="55"/>
        <v>46.5</v>
      </c>
      <c r="K1274" s="1">
        <v>3</v>
      </c>
      <c r="L1274" s="1">
        <v>8</v>
      </c>
      <c r="M1274" s="1">
        <v>11</v>
      </c>
      <c r="P1274" s="2" t="s">
        <v>551</v>
      </c>
      <c r="Q1274" s="2" t="s">
        <v>551</v>
      </c>
      <c r="R1274" s="2" t="s">
        <v>551</v>
      </c>
      <c r="S1274" s="1">
        <v>19</v>
      </c>
    </row>
    <row r="1275" spans="1:19" x14ac:dyDescent="0.25">
      <c r="A1275" s="12">
        <v>43601</v>
      </c>
      <c r="B1275" s="14" t="s">
        <v>1290</v>
      </c>
      <c r="C1275" s="1">
        <v>11</v>
      </c>
      <c r="D1275" s="1">
        <v>26</v>
      </c>
      <c r="E1275" s="1">
        <v>37</v>
      </c>
      <c r="F1275" s="1">
        <f t="shared" si="53"/>
        <v>33.75</v>
      </c>
      <c r="G1275" s="1">
        <v>29</v>
      </c>
      <c r="H1275" s="1">
        <f t="shared" si="54"/>
        <v>31.75</v>
      </c>
      <c r="I1275" s="1">
        <v>53</v>
      </c>
      <c r="J1275" s="1">
        <f t="shared" si="55"/>
        <v>44.25</v>
      </c>
      <c r="K1275" s="1">
        <v>5</v>
      </c>
      <c r="L1275" s="1">
        <v>9</v>
      </c>
      <c r="M1275" s="1">
        <v>14</v>
      </c>
      <c r="P1275" s="2" t="s">
        <v>551</v>
      </c>
      <c r="Q1275" s="2" t="s">
        <v>551</v>
      </c>
      <c r="R1275" s="2" t="s">
        <v>551</v>
      </c>
      <c r="S1275" s="1">
        <v>20</v>
      </c>
    </row>
    <row r="1276" spans="1:19" x14ac:dyDescent="0.25">
      <c r="A1276" s="12">
        <v>43608</v>
      </c>
      <c r="B1276" s="14" t="s">
        <v>1291</v>
      </c>
      <c r="C1276" s="1">
        <v>12</v>
      </c>
      <c r="D1276" s="1">
        <v>27</v>
      </c>
      <c r="E1276" s="1">
        <v>39</v>
      </c>
      <c r="F1276" s="1">
        <f t="shared" si="53"/>
        <v>36.5</v>
      </c>
      <c r="G1276" s="1">
        <v>36</v>
      </c>
      <c r="H1276" s="1">
        <f t="shared" si="54"/>
        <v>30.5</v>
      </c>
      <c r="I1276" s="1">
        <v>42</v>
      </c>
      <c r="J1276" s="1">
        <f t="shared" si="55"/>
        <v>46.25</v>
      </c>
      <c r="K1276" s="1">
        <v>3</v>
      </c>
      <c r="L1276" s="1">
        <v>9</v>
      </c>
      <c r="M1276" s="1">
        <v>12</v>
      </c>
      <c r="P1276" s="2" t="s">
        <v>551</v>
      </c>
      <c r="Q1276" s="2" t="s">
        <v>551</v>
      </c>
      <c r="R1276" s="2" t="s">
        <v>551</v>
      </c>
      <c r="S1276" s="1">
        <v>21</v>
      </c>
    </row>
    <row r="1277" spans="1:19" x14ac:dyDescent="0.25">
      <c r="A1277" s="12">
        <v>43615</v>
      </c>
      <c r="B1277" s="14" t="s">
        <v>1292</v>
      </c>
      <c r="C1277" s="1">
        <v>12</v>
      </c>
      <c r="D1277" s="1">
        <v>33</v>
      </c>
      <c r="E1277" s="1">
        <v>45</v>
      </c>
      <c r="F1277" s="1">
        <f t="shared" si="53"/>
        <v>35</v>
      </c>
      <c r="G1277" s="1">
        <v>26</v>
      </c>
      <c r="H1277" s="1">
        <f t="shared" si="54"/>
        <v>29</v>
      </c>
      <c r="I1277" s="1">
        <v>51</v>
      </c>
      <c r="J1277" s="1">
        <f t="shared" si="55"/>
        <v>51.5</v>
      </c>
      <c r="K1277" s="1">
        <v>2</v>
      </c>
      <c r="L1277" s="1">
        <v>12</v>
      </c>
      <c r="M1277" s="1">
        <v>14</v>
      </c>
      <c r="P1277" s="2" t="s">
        <v>551</v>
      </c>
      <c r="Q1277" s="2" t="s">
        <v>551</v>
      </c>
      <c r="R1277" s="2" t="s">
        <v>551</v>
      </c>
      <c r="S1277" s="1">
        <v>22</v>
      </c>
    </row>
    <row r="1278" spans="1:19" x14ac:dyDescent="0.25">
      <c r="A1278" s="12">
        <v>43622</v>
      </c>
      <c r="B1278" s="14" t="s">
        <v>1293</v>
      </c>
      <c r="C1278" s="1">
        <v>13</v>
      </c>
      <c r="D1278" s="1">
        <v>33</v>
      </c>
      <c r="E1278" s="1">
        <v>46</v>
      </c>
      <c r="F1278" s="1">
        <f t="shared" si="53"/>
        <v>36.5</v>
      </c>
      <c r="G1278" s="1">
        <v>30</v>
      </c>
      <c r="H1278" s="1">
        <f t="shared" si="54"/>
        <v>32.25</v>
      </c>
      <c r="I1278" s="1">
        <v>45</v>
      </c>
      <c r="J1278" s="1">
        <f t="shared" si="55"/>
        <v>48.75</v>
      </c>
      <c r="K1278" s="1">
        <v>3</v>
      </c>
      <c r="L1278" s="1">
        <v>8</v>
      </c>
      <c r="M1278" s="1">
        <v>11</v>
      </c>
      <c r="P1278" s="2" t="s">
        <v>551</v>
      </c>
      <c r="Q1278" s="2" t="s">
        <v>551</v>
      </c>
      <c r="R1278" s="2" t="s">
        <v>551</v>
      </c>
      <c r="S1278" s="1">
        <v>23</v>
      </c>
    </row>
    <row r="1279" spans="1:19" x14ac:dyDescent="0.25">
      <c r="A1279" s="12">
        <v>43629</v>
      </c>
      <c r="B1279" s="14" t="s">
        <v>1294</v>
      </c>
      <c r="C1279" s="1">
        <v>9</v>
      </c>
      <c r="D1279" s="1">
        <v>39</v>
      </c>
      <c r="E1279" s="1">
        <v>48</v>
      </c>
      <c r="F1279" s="1">
        <f t="shared" si="53"/>
        <v>32</v>
      </c>
      <c r="G1279" s="1">
        <v>24</v>
      </c>
      <c r="H1279" s="1">
        <f t="shared" si="54"/>
        <v>34.25</v>
      </c>
      <c r="I1279" s="1">
        <v>43</v>
      </c>
      <c r="J1279" s="1">
        <f t="shared" si="55"/>
        <v>49.5</v>
      </c>
      <c r="K1279" s="1">
        <v>3</v>
      </c>
      <c r="L1279" s="1">
        <v>8</v>
      </c>
      <c r="M1279" s="1">
        <v>11</v>
      </c>
      <c r="P1279" s="2" t="s">
        <v>551</v>
      </c>
      <c r="Q1279" s="2" t="s">
        <v>551</v>
      </c>
      <c r="R1279" s="2" t="s">
        <v>551</v>
      </c>
      <c r="S1279" s="1">
        <v>24</v>
      </c>
    </row>
    <row r="1280" spans="1:19" x14ac:dyDescent="0.25">
      <c r="A1280" s="12">
        <v>43636</v>
      </c>
      <c r="B1280" s="14" t="s">
        <v>1295</v>
      </c>
      <c r="C1280" s="1">
        <v>10</v>
      </c>
      <c r="D1280" s="1">
        <v>45</v>
      </c>
      <c r="E1280" s="1">
        <v>55</v>
      </c>
      <c r="F1280" s="1">
        <f t="shared" si="53"/>
        <v>33.75</v>
      </c>
      <c r="G1280" s="1">
        <v>21</v>
      </c>
      <c r="H1280" s="1">
        <f t="shared" si="54"/>
        <v>32.25</v>
      </c>
      <c r="I1280" s="1">
        <v>39</v>
      </c>
      <c r="J1280" s="1">
        <f t="shared" si="55"/>
        <v>45</v>
      </c>
      <c r="K1280" s="1">
        <v>2</v>
      </c>
      <c r="L1280" s="1">
        <v>11</v>
      </c>
      <c r="M1280" s="1">
        <v>13</v>
      </c>
      <c r="P1280" s="2" t="s">
        <v>551</v>
      </c>
      <c r="Q1280" s="2" t="s">
        <v>551</v>
      </c>
      <c r="R1280" s="2" t="s">
        <v>551</v>
      </c>
      <c r="S1280" s="1">
        <v>25</v>
      </c>
    </row>
    <row r="1281" spans="1:19" x14ac:dyDescent="0.25">
      <c r="A1281" s="12">
        <v>43643</v>
      </c>
      <c r="B1281" s="14" t="s">
        <v>1296</v>
      </c>
      <c r="C1281" s="1">
        <v>13</v>
      </c>
      <c r="D1281" s="1">
        <v>43</v>
      </c>
      <c r="E1281" s="1">
        <v>56</v>
      </c>
      <c r="F1281" s="1">
        <f t="shared" si="53"/>
        <v>32.5</v>
      </c>
      <c r="G1281" s="1">
        <v>21</v>
      </c>
      <c r="H1281" s="1">
        <f t="shared" si="54"/>
        <v>31.75</v>
      </c>
      <c r="I1281" s="1">
        <v>45</v>
      </c>
      <c r="J1281" s="1">
        <f t="shared" si="55"/>
        <v>48.25</v>
      </c>
      <c r="K1281" s="1">
        <v>3</v>
      </c>
      <c r="L1281" s="1">
        <v>11</v>
      </c>
      <c r="M1281" s="1">
        <v>14</v>
      </c>
      <c r="P1281" s="2" t="s">
        <v>551</v>
      </c>
      <c r="Q1281" s="2" t="s">
        <v>551</v>
      </c>
      <c r="R1281" s="2" t="s">
        <v>551</v>
      </c>
      <c r="S1281" s="1">
        <v>26</v>
      </c>
    </row>
    <row r="1282" spans="1:19" x14ac:dyDescent="0.25">
      <c r="A1282" s="12">
        <v>43650</v>
      </c>
      <c r="B1282" s="14" t="s">
        <v>1297</v>
      </c>
      <c r="C1282" s="1">
        <v>13</v>
      </c>
      <c r="D1282" s="1">
        <v>48</v>
      </c>
      <c r="E1282" s="1">
        <v>61</v>
      </c>
      <c r="F1282" s="1">
        <f t="shared" si="53"/>
        <v>32.75</v>
      </c>
      <c r="G1282" s="1">
        <v>26</v>
      </c>
      <c r="H1282" s="1">
        <f t="shared" si="54"/>
        <v>30</v>
      </c>
      <c r="I1282" s="1">
        <v>41</v>
      </c>
      <c r="J1282" s="1">
        <f t="shared" si="55"/>
        <v>49.75</v>
      </c>
      <c r="K1282" s="1">
        <v>3</v>
      </c>
      <c r="L1282" s="1">
        <v>6</v>
      </c>
      <c r="M1282" s="1">
        <v>9</v>
      </c>
      <c r="P1282" s="2" t="s">
        <v>551</v>
      </c>
      <c r="Q1282" s="2" t="s">
        <v>551</v>
      </c>
      <c r="R1282" s="2" t="s">
        <v>551</v>
      </c>
      <c r="S1282" s="1">
        <v>27</v>
      </c>
    </row>
    <row r="1283" spans="1:19" x14ac:dyDescent="0.25">
      <c r="A1283" s="12">
        <v>43657</v>
      </c>
      <c r="B1283" s="14" t="s">
        <v>1298</v>
      </c>
      <c r="C1283" s="1">
        <v>12</v>
      </c>
      <c r="D1283" s="1">
        <v>36</v>
      </c>
      <c r="E1283" s="1">
        <v>48</v>
      </c>
      <c r="F1283" s="1">
        <f t="shared" si="53"/>
        <v>34</v>
      </c>
      <c r="G1283" s="1">
        <v>24</v>
      </c>
      <c r="H1283" s="1">
        <f t="shared" si="54"/>
        <v>33.5</v>
      </c>
      <c r="I1283" s="1">
        <v>45</v>
      </c>
      <c r="J1283" s="1">
        <f t="shared" si="55"/>
        <v>56.25</v>
      </c>
      <c r="K1283" s="1">
        <v>4</v>
      </c>
      <c r="L1283" s="1">
        <v>7</v>
      </c>
      <c r="M1283" s="1">
        <v>11</v>
      </c>
      <c r="P1283" s="2" t="s">
        <v>551</v>
      </c>
      <c r="Q1283" s="2" t="s">
        <v>551</v>
      </c>
      <c r="R1283" s="2" t="s">
        <v>551</v>
      </c>
      <c r="S1283" s="1">
        <v>28</v>
      </c>
    </row>
    <row r="1284" spans="1:19" x14ac:dyDescent="0.25">
      <c r="A1284" s="12">
        <v>43664</v>
      </c>
      <c r="B1284" s="14" t="s">
        <v>1299</v>
      </c>
      <c r="C1284" s="1">
        <v>9</v>
      </c>
      <c r="D1284" s="1">
        <v>35</v>
      </c>
      <c r="E1284" s="1">
        <v>44</v>
      </c>
      <c r="F1284" s="1">
        <f t="shared" si="53"/>
        <v>42.5</v>
      </c>
      <c r="G1284" s="1">
        <v>18</v>
      </c>
      <c r="H1284" s="1">
        <f t="shared" si="54"/>
        <v>34</v>
      </c>
      <c r="I1284" s="1">
        <v>59</v>
      </c>
      <c r="J1284" s="1">
        <f t="shared" si="55"/>
        <v>53.75</v>
      </c>
      <c r="K1284" s="1">
        <v>3</v>
      </c>
      <c r="L1284" s="1">
        <v>10</v>
      </c>
      <c r="M1284" s="1">
        <v>13</v>
      </c>
      <c r="P1284" s="2" t="s">
        <v>551</v>
      </c>
      <c r="Q1284" s="2" t="s">
        <v>551</v>
      </c>
      <c r="R1284" s="2" t="s">
        <v>551</v>
      </c>
      <c r="S1284" s="1">
        <v>29</v>
      </c>
    </row>
    <row r="1285" spans="1:19" x14ac:dyDescent="0.25">
      <c r="A1285" s="12">
        <v>43671</v>
      </c>
      <c r="B1285" s="14" t="s">
        <v>1300</v>
      </c>
      <c r="C1285" s="1">
        <v>12</v>
      </c>
      <c r="D1285" s="1">
        <v>35</v>
      </c>
      <c r="E1285" s="1">
        <v>47</v>
      </c>
      <c r="F1285" s="1">
        <f t="shared" si="53"/>
        <v>40.25</v>
      </c>
      <c r="G1285" s="1">
        <v>30</v>
      </c>
      <c r="H1285" s="1">
        <f t="shared" si="54"/>
        <v>37.25</v>
      </c>
      <c r="I1285" s="1">
        <v>55</v>
      </c>
      <c r="J1285" s="1">
        <f t="shared" si="55"/>
        <v>49.75</v>
      </c>
      <c r="K1285" s="1">
        <v>2</v>
      </c>
      <c r="L1285" s="1">
        <v>15</v>
      </c>
      <c r="M1285" s="1">
        <v>17</v>
      </c>
      <c r="P1285" s="2" t="s">
        <v>551</v>
      </c>
      <c r="Q1285" s="2" t="s">
        <v>551</v>
      </c>
      <c r="R1285" s="2" t="s">
        <v>551</v>
      </c>
      <c r="S1285" s="1">
        <v>30</v>
      </c>
    </row>
    <row r="1286" spans="1:19" x14ac:dyDescent="0.25">
      <c r="A1286" s="12">
        <v>43678</v>
      </c>
      <c r="B1286" s="14" t="s">
        <v>1301</v>
      </c>
      <c r="C1286" s="1">
        <v>15</v>
      </c>
      <c r="D1286" s="1">
        <v>31</v>
      </c>
      <c r="E1286" s="1">
        <v>46</v>
      </c>
      <c r="F1286" s="1">
        <f t="shared" si="53"/>
        <v>41.25</v>
      </c>
      <c r="G1286" s="1">
        <v>34</v>
      </c>
      <c r="H1286" s="1">
        <f t="shared" si="54"/>
        <v>39.25</v>
      </c>
      <c r="I1286" s="1">
        <v>51</v>
      </c>
      <c r="J1286" s="1">
        <f t="shared" si="55"/>
        <v>58.5</v>
      </c>
      <c r="K1286" s="1">
        <v>5</v>
      </c>
      <c r="L1286" s="1">
        <v>14</v>
      </c>
      <c r="M1286" s="1">
        <v>19</v>
      </c>
      <c r="P1286" s="2" t="s">
        <v>551</v>
      </c>
      <c r="Q1286" s="2" t="s">
        <v>551</v>
      </c>
      <c r="R1286" s="2" t="s">
        <v>551</v>
      </c>
      <c r="S1286" s="1">
        <v>31</v>
      </c>
    </row>
    <row r="1287" spans="1:19" x14ac:dyDescent="0.25">
      <c r="A1287" s="12">
        <v>43685</v>
      </c>
      <c r="B1287" s="14" t="s">
        <v>1302</v>
      </c>
      <c r="C1287" s="1">
        <v>12</v>
      </c>
      <c r="D1287" s="1">
        <v>41</v>
      </c>
      <c r="E1287" s="1">
        <v>53</v>
      </c>
      <c r="F1287" s="1">
        <f t="shared" si="53"/>
        <v>37</v>
      </c>
      <c r="G1287" s="1">
        <v>32</v>
      </c>
      <c r="H1287" s="1">
        <f t="shared" si="54"/>
        <v>37.75</v>
      </c>
      <c r="I1287" s="1">
        <v>44</v>
      </c>
      <c r="J1287" s="1">
        <f t="shared" si="55"/>
        <v>61.25</v>
      </c>
      <c r="K1287" s="1">
        <v>5</v>
      </c>
      <c r="L1287" s="1">
        <v>12</v>
      </c>
      <c r="M1287" s="1">
        <v>17</v>
      </c>
      <c r="P1287" s="2" t="s">
        <v>551</v>
      </c>
      <c r="Q1287" s="2" t="s">
        <v>551</v>
      </c>
      <c r="R1287" s="2" t="s">
        <v>551</v>
      </c>
      <c r="S1287" s="1">
        <v>32</v>
      </c>
    </row>
    <row r="1288" spans="1:19" x14ac:dyDescent="0.25">
      <c r="A1288" s="12">
        <v>43692</v>
      </c>
      <c r="B1288" s="14" t="s">
        <v>1303</v>
      </c>
      <c r="C1288" s="1">
        <v>10</v>
      </c>
      <c r="D1288" s="1">
        <v>31</v>
      </c>
      <c r="E1288" s="1">
        <v>41</v>
      </c>
      <c r="F1288" s="1">
        <f t="shared" si="53"/>
        <v>38.75</v>
      </c>
      <c r="G1288" s="1">
        <v>44</v>
      </c>
      <c r="H1288" s="1">
        <f t="shared" si="54"/>
        <v>35.25</v>
      </c>
      <c r="I1288" s="1">
        <v>44</v>
      </c>
      <c r="J1288" s="1">
        <f t="shared" si="55"/>
        <v>59.75</v>
      </c>
      <c r="K1288" s="1">
        <v>4</v>
      </c>
      <c r="L1288" s="1">
        <v>11</v>
      </c>
      <c r="M1288" s="1">
        <v>15</v>
      </c>
      <c r="P1288" s="2" t="s">
        <v>551</v>
      </c>
      <c r="Q1288" s="2" t="s">
        <v>551</v>
      </c>
      <c r="R1288" s="2" t="s">
        <v>551</v>
      </c>
      <c r="S1288" s="1">
        <v>33</v>
      </c>
    </row>
    <row r="1289" spans="1:19" x14ac:dyDescent="0.25">
      <c r="A1289" s="12">
        <v>43699</v>
      </c>
      <c r="B1289" s="14" t="s">
        <v>1304</v>
      </c>
      <c r="C1289" s="1"/>
      <c r="D1289" s="1"/>
      <c r="E1289" s="1">
        <v>52</v>
      </c>
      <c r="F1289" s="1">
        <f t="shared" si="53"/>
        <v>38.25</v>
      </c>
      <c r="G1289" s="1">
        <v>31</v>
      </c>
      <c r="H1289" s="1">
        <f t="shared" si="54"/>
        <v>38.5</v>
      </c>
      <c r="I1289" s="1">
        <v>41</v>
      </c>
      <c r="J1289" s="1">
        <f t="shared" si="55"/>
        <v>53.5</v>
      </c>
      <c r="M1289" s="1">
        <v>15</v>
      </c>
      <c r="P1289" s="2" t="s">
        <v>551</v>
      </c>
      <c r="Q1289" s="2" t="s">
        <v>551</v>
      </c>
      <c r="R1289" s="2" t="s">
        <v>551</v>
      </c>
      <c r="S1289" s="1">
        <v>34</v>
      </c>
    </row>
    <row r="1290" spans="1:19" x14ac:dyDescent="0.25">
      <c r="A1290" s="12">
        <v>43706</v>
      </c>
      <c r="B1290" s="14" t="s">
        <v>1305</v>
      </c>
      <c r="C1290" s="1">
        <v>12</v>
      </c>
      <c r="D1290" s="1">
        <v>31</v>
      </c>
      <c r="E1290" s="1">
        <v>33</v>
      </c>
      <c r="F1290" s="1">
        <f t="shared" si="53"/>
        <v>35.75</v>
      </c>
      <c r="G1290" s="1">
        <v>35</v>
      </c>
      <c r="H1290" s="1">
        <f t="shared" si="54"/>
        <v>40</v>
      </c>
      <c r="I1290" s="1">
        <v>46</v>
      </c>
      <c r="J1290" s="1">
        <f t="shared" si="55"/>
        <v>53.25</v>
      </c>
      <c r="K1290" s="1">
        <v>2</v>
      </c>
      <c r="L1290" s="1">
        <v>8</v>
      </c>
      <c r="M1290" s="1">
        <v>10</v>
      </c>
      <c r="P1290" s="2" t="s">
        <v>551</v>
      </c>
      <c r="Q1290" s="2" t="s">
        <v>551</v>
      </c>
      <c r="R1290" s="2" t="s">
        <v>551</v>
      </c>
      <c r="S1290" s="1">
        <v>35</v>
      </c>
    </row>
    <row r="1291" spans="1:19" x14ac:dyDescent="0.25">
      <c r="A1291" s="12">
        <v>43713</v>
      </c>
      <c r="B1291" s="14" t="s">
        <v>1306</v>
      </c>
      <c r="C1291" s="1">
        <v>12</v>
      </c>
      <c r="D1291" s="1">
        <v>26</v>
      </c>
      <c r="E1291" s="1">
        <v>38</v>
      </c>
      <c r="F1291" s="1">
        <f t="shared" si="53"/>
        <v>35.75</v>
      </c>
      <c r="G1291" s="1">
        <v>32</v>
      </c>
      <c r="H1291" s="1">
        <f t="shared" si="54"/>
        <v>36.25</v>
      </c>
      <c r="I1291" s="1">
        <v>33</v>
      </c>
      <c r="J1291" s="1">
        <f t="shared" si="55"/>
        <v>56.75</v>
      </c>
      <c r="K1291" s="1">
        <v>3</v>
      </c>
      <c r="L1291" s="1">
        <v>6</v>
      </c>
      <c r="M1291" s="1">
        <v>9</v>
      </c>
      <c r="P1291" s="2" t="s">
        <v>551</v>
      </c>
      <c r="Q1291" s="2" t="s">
        <v>551</v>
      </c>
      <c r="R1291" s="2" t="s">
        <v>551</v>
      </c>
      <c r="S1291" s="1">
        <v>36</v>
      </c>
    </row>
    <row r="1292" spans="1:19" x14ac:dyDescent="0.25">
      <c r="A1292" s="12">
        <v>43720</v>
      </c>
      <c r="B1292" s="14" t="s">
        <v>1307</v>
      </c>
      <c r="C1292" s="1">
        <v>6</v>
      </c>
      <c r="D1292" s="1">
        <v>25</v>
      </c>
      <c r="E1292" s="1">
        <v>31</v>
      </c>
      <c r="F1292" s="1">
        <f t="shared" si="53"/>
        <v>39</v>
      </c>
      <c r="G1292" s="1">
        <v>30</v>
      </c>
      <c r="H1292" s="1">
        <f t="shared" si="54"/>
        <v>37.75</v>
      </c>
      <c r="I1292" s="1">
        <v>40</v>
      </c>
      <c r="J1292" s="1">
        <f t="shared" si="55"/>
        <v>61</v>
      </c>
      <c r="K1292" s="1">
        <v>3</v>
      </c>
      <c r="L1292" s="1">
        <v>11</v>
      </c>
      <c r="M1292" s="1">
        <v>14</v>
      </c>
      <c r="P1292" s="2" t="s">
        <v>551</v>
      </c>
      <c r="Q1292" s="2" t="s">
        <v>551</v>
      </c>
      <c r="R1292" s="2" t="s">
        <v>551</v>
      </c>
      <c r="S1292" s="1">
        <v>37</v>
      </c>
    </row>
    <row r="1293" spans="1:19" x14ac:dyDescent="0.25">
      <c r="A1293" s="12">
        <v>43727</v>
      </c>
      <c r="B1293" s="14" t="s">
        <v>1308</v>
      </c>
      <c r="C1293" s="1">
        <v>11</v>
      </c>
      <c r="D1293" s="1">
        <v>23</v>
      </c>
      <c r="E1293" s="1">
        <v>34</v>
      </c>
      <c r="F1293" s="1">
        <f t="shared" si="53"/>
        <v>45</v>
      </c>
      <c r="G1293" s="1">
        <v>19</v>
      </c>
      <c r="H1293" s="1">
        <f t="shared" si="54"/>
        <v>37.5</v>
      </c>
      <c r="I1293" s="1">
        <v>43</v>
      </c>
      <c r="J1293" s="1">
        <f t="shared" si="55"/>
        <v>58</v>
      </c>
      <c r="K1293" s="1">
        <v>2</v>
      </c>
      <c r="L1293" s="1">
        <v>16</v>
      </c>
      <c r="M1293" s="1">
        <v>18</v>
      </c>
      <c r="P1293" s="2" t="s">
        <v>551</v>
      </c>
      <c r="Q1293" s="2" t="s">
        <v>551</v>
      </c>
      <c r="R1293" s="2" t="s">
        <v>551</v>
      </c>
      <c r="S1293" s="1">
        <v>38</v>
      </c>
    </row>
    <row r="1294" spans="1:19" x14ac:dyDescent="0.25">
      <c r="A1294" s="12">
        <v>43734</v>
      </c>
      <c r="B1294" s="14" t="s">
        <v>1309</v>
      </c>
      <c r="C1294" s="1">
        <v>13</v>
      </c>
      <c r="D1294" s="1">
        <v>28</v>
      </c>
      <c r="E1294" s="1">
        <v>41</v>
      </c>
      <c r="F1294" s="1">
        <f t="shared" si="53"/>
        <v>45.75</v>
      </c>
      <c r="G1294" s="1">
        <v>29</v>
      </c>
      <c r="H1294" s="1">
        <f t="shared" si="54"/>
        <v>39.5</v>
      </c>
      <c r="I1294" s="1">
        <v>39</v>
      </c>
      <c r="J1294" s="1">
        <f t="shared" si="55"/>
        <v>67</v>
      </c>
      <c r="K1294" s="1">
        <v>4</v>
      </c>
      <c r="L1294" s="1">
        <v>11</v>
      </c>
      <c r="M1294" s="1">
        <v>15</v>
      </c>
      <c r="P1294" s="2" t="s">
        <v>551</v>
      </c>
      <c r="Q1294" s="2" t="s">
        <v>551</v>
      </c>
      <c r="R1294" s="2" t="s">
        <v>551</v>
      </c>
      <c r="S1294" s="1">
        <v>39</v>
      </c>
    </row>
    <row r="1295" spans="1:19" x14ac:dyDescent="0.25">
      <c r="A1295" s="12">
        <v>43741</v>
      </c>
      <c r="B1295" s="14" t="s">
        <v>1310</v>
      </c>
      <c r="C1295" s="1">
        <v>12</v>
      </c>
      <c r="D1295" s="1">
        <v>31</v>
      </c>
      <c r="E1295" s="1">
        <v>43</v>
      </c>
      <c r="F1295" s="1">
        <f t="shared" si="53"/>
        <v>48</v>
      </c>
      <c r="G1295" s="1">
        <v>35</v>
      </c>
      <c r="H1295" s="1">
        <f t="shared" si="54"/>
        <v>38.5</v>
      </c>
      <c r="I1295" s="1">
        <v>45</v>
      </c>
      <c r="J1295" s="1">
        <f t="shared" si="55"/>
        <v>69.25</v>
      </c>
      <c r="K1295" s="1">
        <v>4</v>
      </c>
      <c r="L1295" s="1">
        <v>11</v>
      </c>
      <c r="M1295" s="1">
        <v>15</v>
      </c>
      <c r="P1295" s="2" t="s">
        <v>551</v>
      </c>
      <c r="Q1295" s="2" t="s">
        <v>551</v>
      </c>
      <c r="R1295" s="2" t="s">
        <v>551</v>
      </c>
      <c r="S1295" s="1">
        <v>40</v>
      </c>
    </row>
    <row r="1296" spans="1:19" x14ac:dyDescent="0.25">
      <c r="A1296" s="12">
        <v>43748</v>
      </c>
      <c r="B1296" s="14" t="s">
        <v>1311</v>
      </c>
      <c r="C1296" s="1">
        <v>13</v>
      </c>
      <c r="D1296" s="1">
        <v>24</v>
      </c>
      <c r="E1296" s="1">
        <v>37</v>
      </c>
      <c r="F1296" s="1">
        <f t="shared" si="53"/>
        <v>48.25</v>
      </c>
      <c r="G1296" s="1">
        <v>31</v>
      </c>
      <c r="H1296" s="1">
        <f t="shared" si="54"/>
        <v>41.25</v>
      </c>
      <c r="I1296" s="1">
        <v>45</v>
      </c>
      <c r="J1296" s="1">
        <f t="shared" si="55"/>
        <v>65</v>
      </c>
      <c r="K1296" s="1">
        <v>5</v>
      </c>
      <c r="L1296" s="1">
        <v>10</v>
      </c>
      <c r="M1296" s="1">
        <v>15</v>
      </c>
      <c r="P1296" s="2" t="s">
        <v>551</v>
      </c>
      <c r="Q1296" s="2" t="s">
        <v>551</v>
      </c>
      <c r="R1296" s="2" t="s">
        <v>551</v>
      </c>
      <c r="S1296" s="1">
        <v>41</v>
      </c>
    </row>
    <row r="1297" spans="1:19" x14ac:dyDescent="0.25">
      <c r="A1297" s="12">
        <v>43755</v>
      </c>
      <c r="B1297" s="14" t="s">
        <v>1312</v>
      </c>
      <c r="C1297" s="1">
        <v>15</v>
      </c>
      <c r="D1297" s="1">
        <v>18</v>
      </c>
      <c r="E1297" s="1">
        <v>33</v>
      </c>
      <c r="F1297" s="1">
        <f t="shared" si="53"/>
        <v>53.5</v>
      </c>
      <c r="G1297" s="1">
        <v>34</v>
      </c>
      <c r="H1297" s="1">
        <f t="shared" si="54"/>
        <v>42</v>
      </c>
      <c r="I1297" s="1">
        <v>53</v>
      </c>
      <c r="J1297" s="1">
        <f t="shared" si="55"/>
        <v>59.25</v>
      </c>
      <c r="K1297" s="1">
        <v>4</v>
      </c>
      <c r="L1297" s="1">
        <v>12</v>
      </c>
      <c r="M1297" s="1">
        <v>16</v>
      </c>
      <c r="P1297" s="2" t="s">
        <v>551</v>
      </c>
      <c r="Q1297" s="2" t="s">
        <v>551</v>
      </c>
      <c r="R1297" s="2" t="s">
        <v>551</v>
      </c>
      <c r="S1297" s="1">
        <v>42</v>
      </c>
    </row>
    <row r="1298" spans="1:19" x14ac:dyDescent="0.25">
      <c r="A1298" s="12">
        <v>43762</v>
      </c>
      <c r="B1298" s="14" t="s">
        <v>1313</v>
      </c>
      <c r="C1298" s="1">
        <v>11</v>
      </c>
      <c r="D1298" s="1">
        <v>16</v>
      </c>
      <c r="E1298" s="1">
        <v>27</v>
      </c>
      <c r="F1298" s="1">
        <f t="shared" si="53"/>
        <v>51</v>
      </c>
      <c r="G1298" s="1">
        <v>36</v>
      </c>
      <c r="H1298" s="1">
        <f t="shared" si="54"/>
        <v>37</v>
      </c>
      <c r="I1298" s="1">
        <v>51</v>
      </c>
      <c r="J1298" s="1">
        <f t="shared" si="55"/>
        <v>63.25</v>
      </c>
      <c r="K1298" s="1">
        <v>4</v>
      </c>
      <c r="L1298" s="1">
        <v>14</v>
      </c>
      <c r="M1298" s="1">
        <v>18</v>
      </c>
      <c r="P1298" s="2" t="s">
        <v>551</v>
      </c>
      <c r="Q1298" s="2" t="s">
        <v>551</v>
      </c>
      <c r="R1298" s="2" t="s">
        <v>551</v>
      </c>
      <c r="S1298" s="1">
        <v>43</v>
      </c>
    </row>
    <row r="1299" spans="1:19" x14ac:dyDescent="0.25">
      <c r="A1299" s="12">
        <v>43769</v>
      </c>
      <c r="B1299" s="14" t="s">
        <v>1314</v>
      </c>
      <c r="C1299" s="1">
        <v>13</v>
      </c>
      <c r="D1299" s="1">
        <v>29</v>
      </c>
      <c r="E1299" s="1">
        <v>42</v>
      </c>
      <c r="F1299" s="1">
        <f t="shared" si="53"/>
        <v>52.75</v>
      </c>
      <c r="G1299" s="1">
        <v>22</v>
      </c>
      <c r="H1299" s="1">
        <f t="shared" si="54"/>
        <v>43</v>
      </c>
      <c r="I1299" s="1">
        <v>40</v>
      </c>
      <c r="J1299" s="1">
        <f t="shared" si="55"/>
        <v>60.5</v>
      </c>
      <c r="K1299" s="1">
        <v>5</v>
      </c>
      <c r="L1299" s="1">
        <v>8</v>
      </c>
      <c r="M1299" s="1">
        <v>13</v>
      </c>
      <c r="P1299" s="2" t="s">
        <v>551</v>
      </c>
      <c r="Q1299" s="2" t="s">
        <v>551</v>
      </c>
      <c r="R1299" s="2" t="s">
        <v>551</v>
      </c>
      <c r="S1299" s="1">
        <v>44</v>
      </c>
    </row>
    <row r="1300" spans="1:19" x14ac:dyDescent="0.25">
      <c r="A1300" s="12">
        <v>43776</v>
      </c>
      <c r="B1300" s="14" t="s">
        <v>1315</v>
      </c>
      <c r="C1300" s="1">
        <v>13</v>
      </c>
      <c r="D1300" s="1">
        <v>24</v>
      </c>
      <c r="E1300" s="1">
        <v>37</v>
      </c>
      <c r="F1300" s="1">
        <f t="shared" ref="F1300:F1307" si="56">AVERAGE(E1248,E1196,E1144,E1092)</f>
        <v>47</v>
      </c>
      <c r="G1300" s="1">
        <v>39</v>
      </c>
      <c r="H1300" s="1">
        <f t="shared" ref="H1300:H1307" si="57">AVERAGE(G1248,G1196,G1144,G1092)</f>
        <v>42.5</v>
      </c>
      <c r="I1300" s="1">
        <v>38</v>
      </c>
      <c r="J1300" s="1">
        <f t="shared" ref="J1300:J1307" si="58">AVERAGE(I1248,I1196,I1144,I1092)</f>
        <v>62.5</v>
      </c>
      <c r="K1300" s="1">
        <v>5</v>
      </c>
      <c r="L1300" s="1">
        <v>11</v>
      </c>
      <c r="M1300" s="1">
        <v>16</v>
      </c>
      <c r="P1300" s="2" t="s">
        <v>551</v>
      </c>
      <c r="Q1300" s="2" t="s">
        <v>551</v>
      </c>
      <c r="R1300" s="2" t="s">
        <v>551</v>
      </c>
      <c r="S1300" s="1">
        <v>45</v>
      </c>
    </row>
    <row r="1301" spans="1:19" x14ac:dyDescent="0.25">
      <c r="A1301" s="12">
        <v>43783</v>
      </c>
      <c r="B1301" s="14" t="s">
        <v>1316</v>
      </c>
      <c r="C1301" s="1">
        <v>10</v>
      </c>
      <c r="D1301" s="1">
        <v>21</v>
      </c>
      <c r="E1301" s="1">
        <v>31</v>
      </c>
      <c r="F1301" s="1">
        <f t="shared" si="56"/>
        <v>47.5</v>
      </c>
      <c r="G1301" s="1">
        <v>31</v>
      </c>
      <c r="H1301" s="1">
        <f t="shared" si="57"/>
        <v>41</v>
      </c>
      <c r="I1301" s="1">
        <v>48</v>
      </c>
      <c r="J1301" s="1">
        <f t="shared" si="58"/>
        <v>61.5</v>
      </c>
      <c r="K1301" s="1">
        <v>4</v>
      </c>
      <c r="L1301" s="1">
        <v>11</v>
      </c>
      <c r="M1301" s="1">
        <v>15</v>
      </c>
      <c r="P1301" s="2" t="s">
        <v>551</v>
      </c>
      <c r="Q1301" s="2" t="s">
        <v>551</v>
      </c>
      <c r="R1301" s="2" t="s">
        <v>551</v>
      </c>
      <c r="S1301" s="1">
        <v>46</v>
      </c>
    </row>
    <row r="1302" spans="1:19" x14ac:dyDescent="0.25">
      <c r="A1302" s="12">
        <v>43790</v>
      </c>
      <c r="B1302" s="14" t="s">
        <v>1317</v>
      </c>
      <c r="C1302" s="1">
        <v>14</v>
      </c>
      <c r="D1302" s="1">
        <v>20</v>
      </c>
      <c r="E1302" s="1">
        <v>34</v>
      </c>
      <c r="F1302" s="1">
        <f t="shared" si="56"/>
        <v>43</v>
      </c>
      <c r="G1302" s="1">
        <v>30</v>
      </c>
      <c r="H1302" s="1">
        <f t="shared" si="57"/>
        <v>41.25</v>
      </c>
      <c r="I1302" s="1">
        <v>44</v>
      </c>
      <c r="J1302" s="1">
        <f t="shared" si="58"/>
        <v>62.75</v>
      </c>
      <c r="K1302" s="1">
        <v>3</v>
      </c>
      <c r="L1302" s="1">
        <v>12</v>
      </c>
      <c r="M1302" s="1">
        <v>15</v>
      </c>
      <c r="P1302" s="2" t="s">
        <v>551</v>
      </c>
      <c r="Q1302" s="2" t="s">
        <v>551</v>
      </c>
      <c r="R1302" s="2" t="s">
        <v>551</v>
      </c>
      <c r="S1302" s="1">
        <v>47</v>
      </c>
    </row>
    <row r="1303" spans="1:19" x14ac:dyDescent="0.25">
      <c r="A1303" s="12">
        <v>43797</v>
      </c>
      <c r="B1303" s="14" t="s">
        <v>1318</v>
      </c>
      <c r="C1303" s="1">
        <v>11</v>
      </c>
      <c r="D1303" s="1">
        <v>15</v>
      </c>
      <c r="E1303" s="1">
        <v>26</v>
      </c>
      <c r="F1303" s="1">
        <f t="shared" si="56"/>
        <v>42.5</v>
      </c>
      <c r="G1303" s="1">
        <v>36</v>
      </c>
      <c r="H1303" s="1">
        <f t="shared" si="57"/>
        <v>42.75</v>
      </c>
      <c r="I1303" s="1">
        <v>45</v>
      </c>
      <c r="J1303" s="1">
        <f t="shared" si="58"/>
        <v>56.75</v>
      </c>
      <c r="K1303" s="1">
        <v>3</v>
      </c>
      <c r="L1303" s="1">
        <v>9</v>
      </c>
      <c r="M1303" s="1">
        <v>12</v>
      </c>
      <c r="P1303" s="2" t="s">
        <v>551</v>
      </c>
      <c r="Q1303" s="2" t="s">
        <v>551</v>
      </c>
      <c r="R1303" s="2" t="s">
        <v>551</v>
      </c>
      <c r="S1303" s="1">
        <v>48</v>
      </c>
    </row>
    <row r="1304" spans="1:19" x14ac:dyDescent="0.25">
      <c r="A1304" s="12">
        <v>43804</v>
      </c>
      <c r="B1304" s="14" t="s">
        <v>1319</v>
      </c>
      <c r="C1304" s="1">
        <v>12</v>
      </c>
      <c r="D1304" s="1">
        <v>16</v>
      </c>
      <c r="E1304" s="1">
        <v>28</v>
      </c>
      <c r="F1304" s="1">
        <f t="shared" si="56"/>
        <v>37.5</v>
      </c>
      <c r="G1304" s="1">
        <v>31</v>
      </c>
      <c r="H1304" s="1">
        <f t="shared" si="57"/>
        <v>40.5</v>
      </c>
      <c r="I1304" s="1">
        <v>43</v>
      </c>
      <c r="J1304" s="1">
        <f t="shared" si="58"/>
        <v>69.25</v>
      </c>
      <c r="K1304" s="1">
        <v>3</v>
      </c>
      <c r="L1304" s="1">
        <v>14</v>
      </c>
      <c r="M1304" s="1">
        <v>17</v>
      </c>
      <c r="P1304" s="2" t="s">
        <v>551</v>
      </c>
      <c r="Q1304" s="2" t="s">
        <v>551</v>
      </c>
      <c r="R1304" s="2" t="s">
        <v>551</v>
      </c>
      <c r="S1304" s="1">
        <v>49</v>
      </c>
    </row>
    <row r="1305" spans="1:19" x14ac:dyDescent="0.25">
      <c r="A1305" s="12">
        <v>43811</v>
      </c>
      <c r="B1305" s="33">
        <v>43811</v>
      </c>
      <c r="C1305" s="1">
        <v>13</v>
      </c>
      <c r="D1305" s="1">
        <v>15</v>
      </c>
      <c r="E1305" s="1">
        <v>28</v>
      </c>
      <c r="F1305" s="1">
        <f t="shared" si="56"/>
        <v>37.5</v>
      </c>
      <c r="G1305" s="1">
        <v>32</v>
      </c>
      <c r="H1305" s="1">
        <f t="shared" si="57"/>
        <v>41</v>
      </c>
      <c r="I1305" s="1">
        <v>44</v>
      </c>
      <c r="J1305" s="1">
        <f t="shared" si="58"/>
        <v>63</v>
      </c>
      <c r="K1305" s="1">
        <v>4</v>
      </c>
      <c r="L1305" s="1">
        <v>9</v>
      </c>
      <c r="M1305" s="1">
        <v>13</v>
      </c>
      <c r="P1305" s="2" t="s">
        <v>551</v>
      </c>
      <c r="Q1305" s="2" t="s">
        <v>551</v>
      </c>
      <c r="R1305" s="2" t="s">
        <v>551</v>
      </c>
      <c r="S1305" s="1">
        <v>50</v>
      </c>
    </row>
    <row r="1306" spans="1:19" x14ac:dyDescent="0.25">
      <c r="A1306" s="12">
        <v>43818</v>
      </c>
      <c r="B1306" s="34">
        <v>43818</v>
      </c>
      <c r="C1306" s="1">
        <v>13</v>
      </c>
      <c r="D1306" s="1">
        <v>18</v>
      </c>
      <c r="E1306" s="1">
        <v>31</v>
      </c>
      <c r="F1306" s="1">
        <f t="shared" si="56"/>
        <v>48.5</v>
      </c>
      <c r="G1306" s="1">
        <v>26</v>
      </c>
      <c r="H1306" s="1">
        <f t="shared" si="57"/>
        <v>37.25</v>
      </c>
      <c r="I1306" s="1">
        <v>40</v>
      </c>
      <c r="J1306" s="1">
        <f t="shared" si="58"/>
        <v>55.25</v>
      </c>
      <c r="K1306" s="1">
        <v>3</v>
      </c>
      <c r="L1306" s="1">
        <v>8</v>
      </c>
      <c r="M1306" s="1">
        <v>11</v>
      </c>
      <c r="P1306" s="2" t="s">
        <v>551</v>
      </c>
      <c r="Q1306" s="2" t="s">
        <v>551</v>
      </c>
      <c r="R1306" s="2" t="s">
        <v>551</v>
      </c>
      <c r="S1306" s="1">
        <v>51</v>
      </c>
    </row>
    <row r="1307" spans="1:19" x14ac:dyDescent="0.25">
      <c r="A1307" s="12">
        <v>43825</v>
      </c>
      <c r="B1307" s="34">
        <v>43825</v>
      </c>
      <c r="C1307" s="1">
        <v>10</v>
      </c>
      <c r="D1307" s="1">
        <v>17</v>
      </c>
      <c r="E1307" s="1">
        <v>27</v>
      </c>
      <c r="F1307" s="1">
        <f t="shared" si="56"/>
        <v>47.25</v>
      </c>
      <c r="G1307" s="1">
        <v>30</v>
      </c>
      <c r="H1307" s="1">
        <f t="shared" si="57"/>
        <v>35.75</v>
      </c>
      <c r="I1307" s="1">
        <v>48</v>
      </c>
      <c r="J1307" s="1">
        <f t="shared" si="58"/>
        <v>57.5</v>
      </c>
      <c r="K1307" s="1">
        <v>4</v>
      </c>
      <c r="L1307" s="1">
        <v>6</v>
      </c>
      <c r="M1307" s="1">
        <v>10</v>
      </c>
      <c r="P1307" s="2" t="s">
        <v>551</v>
      </c>
      <c r="Q1307" s="2" t="s">
        <v>551</v>
      </c>
      <c r="R1307" s="2" t="s">
        <v>551</v>
      </c>
      <c r="S1307" s="1">
        <v>52</v>
      </c>
    </row>
    <row r="1308" spans="1:19" x14ac:dyDescent="0.25">
      <c r="A1308" s="12">
        <v>43832</v>
      </c>
      <c r="B1308" s="14" t="s">
        <v>1320</v>
      </c>
      <c r="C1308" s="1">
        <v>13</v>
      </c>
      <c r="D1308" s="1">
        <v>17</v>
      </c>
      <c r="E1308" s="1">
        <v>30</v>
      </c>
      <c r="F1308" s="1">
        <f t="shared" ref="F1308:F1339" si="59">AVERAGE(E1256,E1204,E1152,E1100)</f>
        <v>40.25</v>
      </c>
      <c r="G1308" s="1">
        <v>29</v>
      </c>
      <c r="H1308" s="1">
        <f t="shared" ref="H1308:H1339" si="60">AVERAGE(G1256,G1204,G1152,G1100)</f>
        <v>35.5</v>
      </c>
      <c r="I1308" s="1">
        <v>44</v>
      </c>
      <c r="J1308" s="1">
        <f t="shared" ref="J1308:J1339" si="61">AVERAGE(I1256,I1204,I1152,I1100)</f>
        <v>59</v>
      </c>
      <c r="K1308" s="1">
        <v>3</v>
      </c>
      <c r="L1308" s="1">
        <v>4</v>
      </c>
      <c r="M1308" s="1">
        <v>7</v>
      </c>
      <c r="P1308" s="2" t="s">
        <v>551</v>
      </c>
      <c r="Q1308" s="2" t="s">
        <v>551</v>
      </c>
      <c r="R1308" s="2" t="s">
        <v>551</v>
      </c>
      <c r="S1308" s="1">
        <v>1</v>
      </c>
    </row>
    <row r="1309" spans="1:19" x14ac:dyDescent="0.25">
      <c r="A1309" s="12">
        <v>43839</v>
      </c>
      <c r="B1309" s="14" t="s">
        <v>1321</v>
      </c>
      <c r="C1309" s="1">
        <v>10</v>
      </c>
      <c r="D1309" s="1">
        <v>28</v>
      </c>
      <c r="E1309" s="1">
        <v>38</v>
      </c>
      <c r="F1309" s="1">
        <f t="shared" si="59"/>
        <v>44</v>
      </c>
      <c r="G1309" s="1">
        <v>34</v>
      </c>
      <c r="H1309" s="1">
        <f t="shared" si="60"/>
        <v>39.25</v>
      </c>
      <c r="I1309" s="1">
        <v>46</v>
      </c>
      <c r="J1309" s="1">
        <f t="shared" si="61"/>
        <v>69.75</v>
      </c>
      <c r="K1309" s="1">
        <v>3</v>
      </c>
      <c r="L1309" s="1">
        <v>6</v>
      </c>
      <c r="M1309" s="1">
        <v>9</v>
      </c>
      <c r="P1309" s="2" t="s">
        <v>551</v>
      </c>
      <c r="Q1309" s="2" t="s">
        <v>551</v>
      </c>
      <c r="R1309" s="2" t="s">
        <v>551</v>
      </c>
      <c r="S1309" s="1">
        <v>2</v>
      </c>
    </row>
    <row r="1310" spans="1:19" x14ac:dyDescent="0.25">
      <c r="A1310" s="12">
        <v>43846</v>
      </c>
      <c r="B1310" s="14" t="s">
        <v>1322</v>
      </c>
      <c r="C1310" s="1">
        <v>10</v>
      </c>
      <c r="D1310" s="1">
        <v>23</v>
      </c>
      <c r="E1310" s="1">
        <v>33</v>
      </c>
      <c r="F1310" s="1">
        <f t="shared" si="59"/>
        <v>52.5</v>
      </c>
      <c r="G1310" s="1">
        <v>28</v>
      </c>
      <c r="H1310" s="1">
        <f t="shared" si="60"/>
        <v>36</v>
      </c>
      <c r="I1310" s="1">
        <v>48</v>
      </c>
      <c r="J1310" s="1">
        <f t="shared" si="61"/>
        <v>62.75</v>
      </c>
      <c r="K1310" s="1">
        <v>4</v>
      </c>
      <c r="L1310" s="1">
        <v>8</v>
      </c>
      <c r="M1310" s="1">
        <v>12</v>
      </c>
      <c r="P1310" s="2" t="s">
        <v>551</v>
      </c>
      <c r="Q1310" s="2" t="s">
        <v>551</v>
      </c>
      <c r="R1310" s="2" t="s">
        <v>551</v>
      </c>
      <c r="S1310" s="1">
        <v>3</v>
      </c>
    </row>
    <row r="1311" spans="1:19" x14ac:dyDescent="0.25">
      <c r="A1311" s="12">
        <v>43853</v>
      </c>
      <c r="B1311" s="14" t="s">
        <v>1323</v>
      </c>
      <c r="C1311" s="1">
        <v>14</v>
      </c>
      <c r="D1311" s="1">
        <v>23</v>
      </c>
      <c r="E1311" s="1">
        <v>37</v>
      </c>
      <c r="F1311" s="1">
        <f t="shared" si="59"/>
        <v>56.5</v>
      </c>
      <c r="G1311" s="1">
        <v>30</v>
      </c>
      <c r="H1311" s="1">
        <f t="shared" si="60"/>
        <v>36.25</v>
      </c>
      <c r="I1311" s="1">
        <v>45</v>
      </c>
      <c r="J1311" s="1">
        <f t="shared" si="61"/>
        <v>58</v>
      </c>
      <c r="K1311" s="1">
        <v>4</v>
      </c>
      <c r="L1311" s="1">
        <v>8</v>
      </c>
      <c r="M1311" s="1">
        <v>12</v>
      </c>
      <c r="P1311" s="2" t="s">
        <v>551</v>
      </c>
      <c r="Q1311" s="2" t="s">
        <v>551</v>
      </c>
      <c r="R1311" s="2" t="s">
        <v>551</v>
      </c>
      <c r="S1311" s="1">
        <v>4</v>
      </c>
    </row>
    <row r="1312" spans="1:19" x14ac:dyDescent="0.25">
      <c r="A1312" s="12">
        <v>43860</v>
      </c>
      <c r="B1312" s="14" t="s">
        <v>1324</v>
      </c>
      <c r="C1312" s="1">
        <v>12</v>
      </c>
      <c r="D1312" s="1">
        <v>32</v>
      </c>
      <c r="E1312" s="1">
        <v>44</v>
      </c>
      <c r="F1312" s="1">
        <f t="shared" si="59"/>
        <v>56</v>
      </c>
      <c r="G1312" s="1">
        <v>29</v>
      </c>
      <c r="H1312" s="1">
        <f t="shared" si="60"/>
        <v>38.25</v>
      </c>
      <c r="I1312" s="1">
        <v>43</v>
      </c>
      <c r="J1312" s="1">
        <f t="shared" si="61"/>
        <v>60.25</v>
      </c>
      <c r="K1312" s="1">
        <v>3</v>
      </c>
      <c r="L1312" s="1">
        <v>7</v>
      </c>
      <c r="M1312" s="1">
        <v>10</v>
      </c>
      <c r="P1312" s="2" t="s">
        <v>551</v>
      </c>
      <c r="Q1312" s="2" t="s">
        <v>551</v>
      </c>
      <c r="R1312" s="2" t="s">
        <v>551</v>
      </c>
      <c r="S1312" s="1">
        <v>5</v>
      </c>
    </row>
    <row r="1313" spans="1:19" x14ac:dyDescent="0.25">
      <c r="A1313" s="12">
        <v>43867</v>
      </c>
      <c r="B1313" s="14" t="s">
        <v>1325</v>
      </c>
      <c r="C1313" s="1">
        <v>13</v>
      </c>
      <c r="D1313" s="1">
        <v>30</v>
      </c>
      <c r="E1313" s="1">
        <v>43</v>
      </c>
      <c r="F1313" s="1">
        <f t="shared" si="59"/>
        <v>53.25</v>
      </c>
      <c r="G1313" s="1">
        <v>30</v>
      </c>
      <c r="H1313" s="1">
        <f t="shared" si="60"/>
        <v>39.25</v>
      </c>
      <c r="I1313" s="1">
        <v>40</v>
      </c>
      <c r="J1313" s="1">
        <f t="shared" si="61"/>
        <v>64.75</v>
      </c>
      <c r="K1313" s="1">
        <v>5</v>
      </c>
      <c r="L1313" s="1">
        <v>10</v>
      </c>
      <c r="M1313" s="1">
        <v>15</v>
      </c>
      <c r="P1313" s="2" t="s">
        <v>551</v>
      </c>
      <c r="Q1313" s="2" t="s">
        <v>551</v>
      </c>
      <c r="R1313" s="2" t="s">
        <v>551</v>
      </c>
      <c r="S1313" s="1">
        <v>6</v>
      </c>
    </row>
    <row r="1314" spans="1:19" x14ac:dyDescent="0.25">
      <c r="A1314" s="12">
        <v>43874</v>
      </c>
      <c r="B1314" s="14" t="s">
        <v>1326</v>
      </c>
      <c r="C1314" s="1">
        <v>13</v>
      </c>
      <c r="D1314" s="1">
        <v>21</v>
      </c>
      <c r="E1314" s="1">
        <v>34</v>
      </c>
      <c r="F1314" s="1">
        <f t="shared" si="59"/>
        <v>49.75</v>
      </c>
      <c r="G1314" s="1">
        <v>31</v>
      </c>
      <c r="H1314" s="1">
        <f t="shared" si="60"/>
        <v>39.5</v>
      </c>
      <c r="I1314" s="1">
        <v>47</v>
      </c>
      <c r="J1314" s="1">
        <f t="shared" si="61"/>
        <v>59</v>
      </c>
      <c r="K1314" s="1">
        <v>4</v>
      </c>
      <c r="L1314" s="1">
        <v>11</v>
      </c>
      <c r="M1314" s="1">
        <v>15</v>
      </c>
      <c r="P1314" s="2" t="s">
        <v>551</v>
      </c>
      <c r="Q1314" s="2" t="s">
        <v>551</v>
      </c>
      <c r="R1314" s="2" t="s">
        <v>551</v>
      </c>
      <c r="S1314" s="1">
        <v>7</v>
      </c>
    </row>
    <row r="1315" spans="1:19" x14ac:dyDescent="0.25">
      <c r="A1315" s="12">
        <v>43881</v>
      </c>
      <c r="B1315" s="14" t="s">
        <v>1327</v>
      </c>
      <c r="C1315" s="1">
        <v>13</v>
      </c>
      <c r="D1315" s="1">
        <v>20</v>
      </c>
      <c r="E1315" s="1">
        <v>33</v>
      </c>
      <c r="F1315" s="1">
        <f t="shared" si="59"/>
        <v>53.75</v>
      </c>
      <c r="G1315" s="1">
        <v>27</v>
      </c>
      <c r="H1315" s="1">
        <f t="shared" si="60"/>
        <v>40.25</v>
      </c>
      <c r="I1315" s="1">
        <v>39</v>
      </c>
      <c r="J1315" s="1">
        <f t="shared" si="61"/>
        <v>63.25</v>
      </c>
      <c r="K1315" s="1">
        <v>5</v>
      </c>
      <c r="L1315" s="1">
        <v>9</v>
      </c>
      <c r="M1315" s="1">
        <v>14</v>
      </c>
      <c r="P1315" s="2" t="s">
        <v>551</v>
      </c>
      <c r="Q1315" s="2" t="s">
        <v>551</v>
      </c>
      <c r="R1315" s="2" t="s">
        <v>551</v>
      </c>
      <c r="S1315" s="1">
        <v>8</v>
      </c>
    </row>
    <row r="1316" spans="1:19" x14ac:dyDescent="0.25">
      <c r="A1316" s="12">
        <v>43888</v>
      </c>
      <c r="B1316" s="14" t="s">
        <v>1328</v>
      </c>
      <c r="C1316" s="1">
        <v>10</v>
      </c>
      <c r="D1316" s="1">
        <v>20</v>
      </c>
      <c r="E1316" s="1">
        <v>30</v>
      </c>
      <c r="F1316" s="1">
        <f t="shared" si="59"/>
        <v>44</v>
      </c>
      <c r="G1316" s="1">
        <v>31</v>
      </c>
      <c r="H1316" s="1">
        <f t="shared" si="60"/>
        <v>40.5</v>
      </c>
      <c r="I1316" s="1">
        <v>39</v>
      </c>
      <c r="J1316" s="1">
        <f t="shared" si="61"/>
        <v>59</v>
      </c>
      <c r="K1316" s="1">
        <v>5</v>
      </c>
      <c r="L1316" s="1">
        <v>7</v>
      </c>
      <c r="M1316" s="1">
        <v>12</v>
      </c>
      <c r="P1316" s="2" t="s">
        <v>551</v>
      </c>
      <c r="Q1316" s="2" t="s">
        <v>551</v>
      </c>
      <c r="R1316" s="2" t="s">
        <v>551</v>
      </c>
      <c r="S1316" s="1">
        <v>9</v>
      </c>
    </row>
    <row r="1317" spans="1:19" x14ac:dyDescent="0.25">
      <c r="A1317" s="12">
        <v>43895</v>
      </c>
      <c r="B1317" s="14" t="s">
        <v>1329</v>
      </c>
      <c r="C1317" s="1">
        <v>12</v>
      </c>
      <c r="D1317" s="1">
        <v>22</v>
      </c>
      <c r="E1317" s="1">
        <v>34</v>
      </c>
      <c r="F1317" s="1">
        <f t="shared" si="59"/>
        <v>50.25</v>
      </c>
      <c r="G1317" s="1">
        <v>29</v>
      </c>
      <c r="H1317" s="1">
        <f t="shared" si="60"/>
        <v>37.75</v>
      </c>
      <c r="I1317" s="1">
        <v>41</v>
      </c>
      <c r="J1317" s="1">
        <f t="shared" si="61"/>
        <v>60</v>
      </c>
      <c r="K1317" s="1">
        <v>4</v>
      </c>
      <c r="L1317" s="1">
        <v>6</v>
      </c>
      <c r="M1317" s="1">
        <v>10</v>
      </c>
      <c r="P1317" s="2" t="s">
        <v>551</v>
      </c>
      <c r="Q1317" s="2" t="s">
        <v>551</v>
      </c>
      <c r="R1317" s="2" t="s">
        <v>551</v>
      </c>
      <c r="S1317" s="1">
        <v>10</v>
      </c>
    </row>
    <row r="1318" spans="1:19" x14ac:dyDescent="0.25">
      <c r="A1318" s="12">
        <v>43902</v>
      </c>
      <c r="B1318" s="14" t="s">
        <v>1330</v>
      </c>
      <c r="C1318" s="1">
        <v>10</v>
      </c>
      <c r="D1318" s="1">
        <v>24</v>
      </c>
      <c r="E1318" s="1">
        <v>34</v>
      </c>
      <c r="F1318" s="1">
        <f t="shared" si="59"/>
        <v>49.5</v>
      </c>
      <c r="G1318" s="1">
        <v>39</v>
      </c>
      <c r="H1318" s="1">
        <f t="shared" si="60"/>
        <v>36.75</v>
      </c>
      <c r="I1318" s="1">
        <v>42</v>
      </c>
      <c r="J1318" s="1">
        <f t="shared" si="61"/>
        <v>62.25</v>
      </c>
      <c r="K1318" s="1">
        <v>5</v>
      </c>
      <c r="L1318" s="1">
        <v>6</v>
      </c>
      <c r="M1318" s="1">
        <v>11</v>
      </c>
      <c r="P1318" s="2" t="s">
        <v>551</v>
      </c>
      <c r="Q1318" s="2" t="s">
        <v>551</v>
      </c>
      <c r="R1318" s="2" t="s">
        <v>551</v>
      </c>
      <c r="S1318" s="1">
        <v>11</v>
      </c>
    </row>
    <row r="1319" spans="1:19" x14ac:dyDescent="0.25">
      <c r="A1319" s="12">
        <v>43909</v>
      </c>
      <c r="B1319" s="14" t="s">
        <v>1331</v>
      </c>
      <c r="C1319" s="1">
        <v>12</v>
      </c>
      <c r="D1319" s="1">
        <v>16</v>
      </c>
      <c r="E1319" s="1">
        <v>28</v>
      </c>
      <c r="F1319" s="1">
        <f t="shared" si="59"/>
        <v>49.5</v>
      </c>
      <c r="G1319" s="1">
        <v>24</v>
      </c>
      <c r="H1319" s="1">
        <f t="shared" si="60"/>
        <v>37.75</v>
      </c>
      <c r="I1319" s="1">
        <v>38</v>
      </c>
      <c r="J1319" s="1">
        <f t="shared" si="61"/>
        <v>51.75</v>
      </c>
      <c r="K1319" s="1">
        <v>4</v>
      </c>
      <c r="L1319" s="1">
        <v>7</v>
      </c>
      <c r="M1319" s="1">
        <v>11</v>
      </c>
      <c r="P1319" s="2" t="s">
        <v>551</v>
      </c>
      <c r="Q1319" s="2" t="s">
        <v>551</v>
      </c>
      <c r="R1319" s="2" t="s">
        <v>551</v>
      </c>
      <c r="S1319" s="1">
        <v>12</v>
      </c>
    </row>
    <row r="1320" spans="1:19" x14ac:dyDescent="0.25">
      <c r="A1320" s="12">
        <v>43916</v>
      </c>
      <c r="B1320" s="14" t="s">
        <v>1332</v>
      </c>
      <c r="C1320" s="1">
        <v>9</v>
      </c>
      <c r="D1320" s="1">
        <v>16</v>
      </c>
      <c r="E1320" s="1">
        <v>25</v>
      </c>
      <c r="F1320" s="1">
        <f t="shared" si="59"/>
        <v>44.75</v>
      </c>
      <c r="G1320" s="1">
        <v>32</v>
      </c>
      <c r="H1320" s="1">
        <f t="shared" si="60"/>
        <v>38.75</v>
      </c>
      <c r="I1320" s="1">
        <v>39</v>
      </c>
      <c r="J1320" s="1">
        <f t="shared" si="61"/>
        <v>50</v>
      </c>
      <c r="K1320" s="1">
        <v>4</v>
      </c>
      <c r="L1320" s="1">
        <v>9</v>
      </c>
      <c r="M1320" s="1">
        <v>13</v>
      </c>
      <c r="P1320" s="2" t="s">
        <v>551</v>
      </c>
      <c r="Q1320" s="2" t="s">
        <v>551</v>
      </c>
      <c r="R1320" s="2" t="s">
        <v>551</v>
      </c>
      <c r="S1320" s="1">
        <v>13</v>
      </c>
    </row>
    <row r="1321" spans="1:19" x14ac:dyDescent="0.25">
      <c r="A1321" s="12">
        <v>43923</v>
      </c>
      <c r="B1321" s="14" t="s">
        <v>1333</v>
      </c>
      <c r="C1321" s="1">
        <v>10</v>
      </c>
      <c r="D1321" s="1">
        <v>16</v>
      </c>
      <c r="E1321" s="1">
        <v>26</v>
      </c>
      <c r="F1321" s="1">
        <f t="shared" si="59"/>
        <v>45</v>
      </c>
      <c r="G1321" s="1">
        <v>27</v>
      </c>
      <c r="H1321" s="1">
        <f t="shared" si="60"/>
        <v>34.75</v>
      </c>
      <c r="I1321" s="1">
        <v>43</v>
      </c>
      <c r="J1321" s="1">
        <f t="shared" si="61"/>
        <v>52</v>
      </c>
      <c r="K1321" s="1">
        <v>5</v>
      </c>
      <c r="L1321" s="1">
        <v>6</v>
      </c>
      <c r="M1321" s="1">
        <v>11</v>
      </c>
      <c r="P1321" s="2" t="s">
        <v>551</v>
      </c>
      <c r="Q1321" s="2" t="s">
        <v>551</v>
      </c>
      <c r="R1321" s="2" t="s">
        <v>551</v>
      </c>
      <c r="S1321" s="1">
        <v>14</v>
      </c>
    </row>
    <row r="1322" spans="1:19" x14ac:dyDescent="0.25">
      <c r="A1322" s="12">
        <v>43930</v>
      </c>
      <c r="B1322" s="14" t="s">
        <v>1334</v>
      </c>
      <c r="C1322" s="1">
        <v>10</v>
      </c>
      <c r="D1322" s="1">
        <v>20</v>
      </c>
      <c r="E1322" s="1">
        <v>30</v>
      </c>
      <c r="F1322" s="1">
        <f t="shared" si="59"/>
        <v>37.75</v>
      </c>
      <c r="G1322" s="1">
        <v>31</v>
      </c>
      <c r="H1322" s="1">
        <f t="shared" si="60"/>
        <v>38</v>
      </c>
      <c r="I1322" s="1">
        <v>51</v>
      </c>
      <c r="J1322" s="1">
        <f t="shared" si="61"/>
        <v>56.5</v>
      </c>
      <c r="K1322" s="1">
        <v>5</v>
      </c>
      <c r="L1322" s="1">
        <v>5</v>
      </c>
      <c r="M1322" s="1">
        <v>10</v>
      </c>
      <c r="P1322" s="2" t="s">
        <v>551</v>
      </c>
      <c r="Q1322" s="2" t="s">
        <v>551</v>
      </c>
      <c r="R1322" s="2" t="s">
        <v>551</v>
      </c>
      <c r="S1322" s="1">
        <v>15</v>
      </c>
    </row>
    <row r="1323" spans="1:19" x14ac:dyDescent="0.25">
      <c r="A1323" s="12">
        <v>43937</v>
      </c>
      <c r="B1323" s="14" t="s">
        <v>1335</v>
      </c>
      <c r="C1323" s="1">
        <v>11</v>
      </c>
      <c r="D1323" s="1">
        <v>23</v>
      </c>
      <c r="E1323" s="1">
        <v>34</v>
      </c>
      <c r="F1323" s="1">
        <f t="shared" si="59"/>
        <v>39.75</v>
      </c>
      <c r="G1323" s="1">
        <v>31</v>
      </c>
      <c r="H1323" s="1">
        <f t="shared" si="60"/>
        <v>34.75</v>
      </c>
      <c r="I1323" s="1">
        <v>40</v>
      </c>
      <c r="J1323" s="1">
        <f t="shared" si="61"/>
        <v>49.25</v>
      </c>
      <c r="K1323" s="1">
        <v>4</v>
      </c>
      <c r="L1323" s="1">
        <v>3</v>
      </c>
      <c r="M1323" s="1">
        <v>7</v>
      </c>
      <c r="P1323" s="2" t="s">
        <v>551</v>
      </c>
      <c r="Q1323" s="2" t="s">
        <v>551</v>
      </c>
      <c r="R1323" s="2" t="s">
        <v>551</v>
      </c>
      <c r="S1323" s="1">
        <v>16</v>
      </c>
    </row>
    <row r="1324" spans="1:19" x14ac:dyDescent="0.25">
      <c r="A1324" s="12">
        <v>43944</v>
      </c>
      <c r="B1324" s="14" t="s">
        <v>1336</v>
      </c>
      <c r="C1324" s="1">
        <v>12</v>
      </c>
      <c r="D1324" s="1">
        <v>19</v>
      </c>
      <c r="E1324" s="1">
        <v>31</v>
      </c>
      <c r="F1324" s="1">
        <f t="shared" si="59"/>
        <v>35.5</v>
      </c>
      <c r="G1324" s="1">
        <v>35</v>
      </c>
      <c r="H1324" s="1">
        <f t="shared" si="60"/>
        <v>34.75</v>
      </c>
      <c r="I1324" s="1">
        <v>43</v>
      </c>
      <c r="J1324" s="1">
        <f t="shared" si="61"/>
        <v>47</v>
      </c>
      <c r="K1324" s="1">
        <v>5</v>
      </c>
      <c r="L1324" s="1">
        <v>13</v>
      </c>
      <c r="M1324" s="1">
        <v>18</v>
      </c>
      <c r="P1324" s="2" t="s">
        <v>551</v>
      </c>
      <c r="Q1324" s="2" t="s">
        <v>551</v>
      </c>
      <c r="R1324" s="2" t="s">
        <v>551</v>
      </c>
      <c r="S1324" s="1">
        <v>17</v>
      </c>
    </row>
    <row r="1325" spans="1:19" x14ac:dyDescent="0.25">
      <c r="A1325" s="12">
        <v>43951</v>
      </c>
      <c r="B1325" s="14" t="s">
        <v>1337</v>
      </c>
      <c r="C1325" s="1">
        <v>11</v>
      </c>
      <c r="D1325" s="1">
        <v>14</v>
      </c>
      <c r="E1325" s="1">
        <v>25</v>
      </c>
      <c r="F1325" s="1">
        <f t="shared" si="59"/>
        <v>33</v>
      </c>
      <c r="G1325" s="1">
        <v>36</v>
      </c>
      <c r="H1325" s="1">
        <f t="shared" si="60"/>
        <v>32</v>
      </c>
      <c r="I1325" s="1">
        <v>42</v>
      </c>
      <c r="J1325" s="1">
        <f t="shared" si="61"/>
        <v>50</v>
      </c>
      <c r="K1325" s="1">
        <v>5</v>
      </c>
      <c r="L1325" s="1">
        <v>11</v>
      </c>
      <c r="M1325" s="1">
        <v>16</v>
      </c>
      <c r="P1325" s="2" t="s">
        <v>551</v>
      </c>
      <c r="Q1325" s="2" t="s">
        <v>551</v>
      </c>
      <c r="R1325" s="2" t="s">
        <v>551</v>
      </c>
      <c r="S1325" s="1">
        <v>18</v>
      </c>
    </row>
    <row r="1326" spans="1:19" x14ac:dyDescent="0.25">
      <c r="A1326" s="12">
        <v>43958</v>
      </c>
      <c r="B1326" s="14" t="s">
        <v>1338</v>
      </c>
      <c r="C1326" s="1">
        <v>12</v>
      </c>
      <c r="D1326" s="1">
        <v>10</v>
      </c>
      <c r="E1326" s="1">
        <v>22</v>
      </c>
      <c r="F1326" s="1">
        <f t="shared" si="59"/>
        <v>29.25</v>
      </c>
      <c r="G1326" s="1">
        <v>33</v>
      </c>
      <c r="H1326" s="1">
        <f t="shared" si="60"/>
        <v>32</v>
      </c>
      <c r="I1326" s="1">
        <v>42</v>
      </c>
      <c r="J1326" s="1">
        <f t="shared" si="61"/>
        <v>48.75</v>
      </c>
      <c r="K1326" s="1">
        <v>5</v>
      </c>
      <c r="L1326" s="1">
        <v>10</v>
      </c>
      <c r="M1326" s="1">
        <v>15</v>
      </c>
      <c r="P1326" s="2" t="s">
        <v>551</v>
      </c>
      <c r="Q1326" s="2" t="s">
        <v>551</v>
      </c>
      <c r="R1326" s="2" t="s">
        <v>551</v>
      </c>
      <c r="S1326" s="1">
        <v>19</v>
      </c>
    </row>
    <row r="1327" spans="1:19" x14ac:dyDescent="0.25">
      <c r="A1327" s="12">
        <v>43965</v>
      </c>
      <c r="B1327" s="14" t="s">
        <v>1339</v>
      </c>
      <c r="C1327" s="1">
        <v>10</v>
      </c>
      <c r="D1327" s="1">
        <v>12</v>
      </c>
      <c r="E1327" s="1">
        <v>22</v>
      </c>
      <c r="F1327" s="1">
        <f t="shared" si="59"/>
        <v>32.5</v>
      </c>
      <c r="G1327" s="1">
        <v>29</v>
      </c>
      <c r="H1327" s="1">
        <f t="shared" si="60"/>
        <v>30.25</v>
      </c>
      <c r="I1327" s="1">
        <v>48</v>
      </c>
      <c r="J1327" s="1">
        <f t="shared" si="61"/>
        <v>47.75</v>
      </c>
      <c r="K1327" s="1">
        <v>3</v>
      </c>
      <c r="L1327" s="1">
        <v>10</v>
      </c>
      <c r="M1327" s="1">
        <v>13</v>
      </c>
      <c r="P1327" s="2" t="s">
        <v>551</v>
      </c>
      <c r="Q1327" s="2" t="s">
        <v>551</v>
      </c>
      <c r="R1327" s="2" t="s">
        <v>551</v>
      </c>
      <c r="S1327" s="1">
        <v>20</v>
      </c>
    </row>
    <row r="1328" spans="1:19" x14ac:dyDescent="0.25">
      <c r="A1328" s="12">
        <v>43972</v>
      </c>
      <c r="B1328" s="14" t="s">
        <v>1340</v>
      </c>
      <c r="C1328" s="1">
        <v>13</v>
      </c>
      <c r="D1328" s="1">
        <v>21</v>
      </c>
      <c r="E1328" s="1">
        <v>34</v>
      </c>
      <c r="F1328" s="1">
        <f t="shared" si="59"/>
        <v>38</v>
      </c>
      <c r="G1328" s="1">
        <v>34</v>
      </c>
      <c r="H1328" s="1">
        <f t="shared" si="60"/>
        <v>31.5</v>
      </c>
      <c r="I1328" s="1">
        <v>34</v>
      </c>
      <c r="J1328" s="1">
        <f t="shared" si="61"/>
        <v>47.75</v>
      </c>
      <c r="K1328" s="1">
        <v>4</v>
      </c>
      <c r="L1328" s="1">
        <v>14</v>
      </c>
      <c r="M1328" s="1">
        <v>18</v>
      </c>
      <c r="P1328" s="2" t="s">
        <v>551</v>
      </c>
      <c r="Q1328" s="2" t="s">
        <v>551</v>
      </c>
      <c r="R1328" s="2" t="s">
        <v>551</v>
      </c>
      <c r="S1328" s="1">
        <v>21</v>
      </c>
    </row>
    <row r="1329" spans="1:19" x14ac:dyDescent="0.25">
      <c r="A1329" s="12">
        <v>43979</v>
      </c>
      <c r="B1329" s="14" t="s">
        <v>1341</v>
      </c>
      <c r="C1329" s="1">
        <v>9</v>
      </c>
      <c r="D1329" s="1">
        <v>14</v>
      </c>
      <c r="E1329" s="1">
        <v>23</v>
      </c>
      <c r="F1329" s="1">
        <f t="shared" si="59"/>
        <v>37.25</v>
      </c>
      <c r="G1329" s="1">
        <v>39</v>
      </c>
      <c r="H1329" s="1">
        <f t="shared" si="60"/>
        <v>28.5</v>
      </c>
      <c r="I1329" s="1">
        <v>42</v>
      </c>
      <c r="J1329" s="1">
        <f t="shared" si="61"/>
        <v>53.5</v>
      </c>
      <c r="K1329" s="1">
        <v>4</v>
      </c>
      <c r="L1329" s="1">
        <v>10</v>
      </c>
      <c r="M1329" s="1">
        <v>14</v>
      </c>
      <c r="P1329" s="2" t="s">
        <v>551</v>
      </c>
      <c r="Q1329" s="2" t="s">
        <v>551</v>
      </c>
      <c r="R1329" s="2" t="s">
        <v>551</v>
      </c>
      <c r="S1329" s="1">
        <v>22</v>
      </c>
    </row>
    <row r="1330" spans="1:19" x14ac:dyDescent="0.25">
      <c r="A1330" s="12">
        <v>43986</v>
      </c>
      <c r="B1330" s="14" t="s">
        <v>1342</v>
      </c>
      <c r="C1330" s="1">
        <v>13</v>
      </c>
      <c r="D1330" s="1">
        <v>22</v>
      </c>
      <c r="E1330" s="1">
        <v>35</v>
      </c>
      <c r="F1330" s="1">
        <f t="shared" si="59"/>
        <v>37.75</v>
      </c>
      <c r="G1330" s="1">
        <v>31</v>
      </c>
      <c r="H1330" s="1">
        <f t="shared" si="60"/>
        <v>32.5</v>
      </c>
      <c r="I1330" s="1">
        <v>48</v>
      </c>
      <c r="J1330" s="1">
        <f t="shared" si="61"/>
        <v>47.25</v>
      </c>
      <c r="K1330" s="1">
        <v>5</v>
      </c>
      <c r="L1330" s="1">
        <v>13</v>
      </c>
      <c r="M1330" s="1">
        <v>18</v>
      </c>
      <c r="P1330" s="2" t="s">
        <v>551</v>
      </c>
      <c r="Q1330" s="2" t="s">
        <v>551</v>
      </c>
      <c r="R1330" s="2" t="s">
        <v>551</v>
      </c>
      <c r="S1330" s="1">
        <v>23</v>
      </c>
    </row>
    <row r="1331" spans="1:19" x14ac:dyDescent="0.25">
      <c r="A1331" s="12">
        <v>43993</v>
      </c>
      <c r="B1331" s="14" t="s">
        <v>1343</v>
      </c>
      <c r="C1331" s="1">
        <v>11</v>
      </c>
      <c r="D1331" s="1">
        <v>18</v>
      </c>
      <c r="E1331" s="1">
        <v>29</v>
      </c>
      <c r="F1331" s="1">
        <f t="shared" si="59"/>
        <v>35.75</v>
      </c>
      <c r="G1331" s="1">
        <v>27</v>
      </c>
      <c r="H1331" s="1">
        <f t="shared" si="60"/>
        <v>32</v>
      </c>
      <c r="I1331" s="1">
        <v>46</v>
      </c>
      <c r="J1331" s="1">
        <f t="shared" si="61"/>
        <v>48.5</v>
      </c>
      <c r="K1331" s="1">
        <v>6</v>
      </c>
      <c r="L1331" s="1">
        <v>18</v>
      </c>
      <c r="M1331" s="1">
        <v>24</v>
      </c>
      <c r="P1331" s="2" t="s">
        <v>551</v>
      </c>
      <c r="Q1331" s="2" t="s">
        <v>551</v>
      </c>
      <c r="R1331" s="2" t="s">
        <v>551</v>
      </c>
      <c r="S1331" s="1">
        <v>24</v>
      </c>
    </row>
    <row r="1332" spans="1:19" x14ac:dyDescent="0.25">
      <c r="A1332" s="12">
        <v>44000</v>
      </c>
      <c r="B1332" s="14" t="s">
        <v>1344</v>
      </c>
      <c r="C1332" s="1">
        <v>12</v>
      </c>
      <c r="D1332" s="1">
        <v>17</v>
      </c>
      <c r="E1332" s="1">
        <v>29</v>
      </c>
      <c r="F1332" s="1">
        <f t="shared" si="59"/>
        <v>37.75</v>
      </c>
      <c r="G1332" s="1">
        <v>31</v>
      </c>
      <c r="H1332" s="1">
        <f t="shared" si="60"/>
        <v>29.75</v>
      </c>
      <c r="I1332" s="1">
        <v>38</v>
      </c>
      <c r="J1332" s="1">
        <f t="shared" si="61"/>
        <v>44.75</v>
      </c>
      <c r="K1332" s="1">
        <v>4</v>
      </c>
      <c r="L1332" s="1">
        <v>14</v>
      </c>
      <c r="M1332" s="1">
        <v>18</v>
      </c>
      <c r="P1332" s="2" t="s">
        <v>551</v>
      </c>
      <c r="Q1332" s="2" t="s">
        <v>551</v>
      </c>
      <c r="R1332" s="2" t="s">
        <v>551</v>
      </c>
      <c r="S1332" s="1">
        <v>25</v>
      </c>
    </row>
    <row r="1333" spans="1:19" x14ac:dyDescent="0.25">
      <c r="A1333" s="12">
        <v>44007</v>
      </c>
      <c r="B1333" s="14" t="s">
        <v>1345</v>
      </c>
      <c r="C1333" s="1">
        <v>13</v>
      </c>
      <c r="D1333" s="1">
        <v>13</v>
      </c>
      <c r="E1333" s="1">
        <v>26</v>
      </c>
      <c r="F1333" s="1">
        <f t="shared" si="59"/>
        <v>38</v>
      </c>
      <c r="G1333" s="1">
        <v>30</v>
      </c>
      <c r="H1333" s="1">
        <f t="shared" si="60"/>
        <v>29.5</v>
      </c>
      <c r="I1333" s="1">
        <v>40</v>
      </c>
      <c r="J1333" s="1">
        <f t="shared" si="61"/>
        <v>48.75</v>
      </c>
      <c r="K1333" s="1">
        <v>5</v>
      </c>
      <c r="L1333" s="1">
        <v>13</v>
      </c>
      <c r="M1333" s="1">
        <v>18</v>
      </c>
      <c r="P1333" s="2" t="s">
        <v>551</v>
      </c>
      <c r="Q1333" s="2" t="s">
        <v>551</v>
      </c>
      <c r="R1333" s="2" t="s">
        <v>551</v>
      </c>
      <c r="S1333" s="1">
        <v>26</v>
      </c>
    </row>
    <row r="1334" spans="1:19" x14ac:dyDescent="0.25">
      <c r="A1334" s="12">
        <v>44014</v>
      </c>
      <c r="B1334" s="14" t="s">
        <v>1346</v>
      </c>
      <c r="C1334" s="1">
        <v>12</v>
      </c>
      <c r="D1334" s="1">
        <v>17</v>
      </c>
      <c r="E1334" s="1">
        <v>29</v>
      </c>
      <c r="F1334" s="1">
        <f t="shared" si="59"/>
        <v>41.75</v>
      </c>
      <c r="G1334" s="1">
        <v>33</v>
      </c>
      <c r="H1334" s="1">
        <f t="shared" si="60"/>
        <v>29.5</v>
      </c>
      <c r="I1334" s="1">
        <v>42</v>
      </c>
      <c r="J1334" s="1">
        <f t="shared" si="61"/>
        <v>47.5</v>
      </c>
      <c r="K1334" s="1">
        <v>4</v>
      </c>
      <c r="L1334" s="1">
        <v>12</v>
      </c>
      <c r="M1334" s="1">
        <v>16</v>
      </c>
      <c r="P1334" s="2" t="s">
        <v>551</v>
      </c>
      <c r="Q1334" s="2" t="s">
        <v>551</v>
      </c>
      <c r="R1334" s="2" t="s">
        <v>551</v>
      </c>
      <c r="S1334" s="1">
        <v>27</v>
      </c>
    </row>
    <row r="1335" spans="1:19" x14ac:dyDescent="0.25">
      <c r="A1335" s="12">
        <v>44021</v>
      </c>
      <c r="B1335" s="14" t="s">
        <v>1347</v>
      </c>
      <c r="C1335" s="1">
        <v>8</v>
      </c>
      <c r="D1335" s="1">
        <v>20</v>
      </c>
      <c r="E1335" s="1">
        <v>28</v>
      </c>
      <c r="F1335" s="1">
        <f t="shared" si="59"/>
        <v>36.75</v>
      </c>
      <c r="G1335" s="1">
        <v>30</v>
      </c>
      <c r="H1335" s="1">
        <f t="shared" si="60"/>
        <v>32</v>
      </c>
      <c r="I1335" s="1">
        <v>37</v>
      </c>
      <c r="J1335" s="1">
        <f t="shared" si="61"/>
        <v>55</v>
      </c>
      <c r="K1335" s="1">
        <v>5</v>
      </c>
      <c r="L1335" s="1">
        <v>8</v>
      </c>
      <c r="M1335" s="1">
        <v>13</v>
      </c>
      <c r="P1335" s="2" t="s">
        <v>551</v>
      </c>
      <c r="Q1335" s="2" t="s">
        <v>551</v>
      </c>
      <c r="R1335" s="2" t="s">
        <v>551</v>
      </c>
      <c r="S1335" s="1">
        <v>28</v>
      </c>
    </row>
    <row r="1336" spans="1:19" x14ac:dyDescent="0.25">
      <c r="A1336" s="12">
        <v>44028</v>
      </c>
      <c r="B1336" s="14" t="s">
        <v>1348</v>
      </c>
      <c r="C1336" s="1">
        <v>7</v>
      </c>
      <c r="D1336" s="1">
        <v>20</v>
      </c>
      <c r="E1336" s="1">
        <v>27</v>
      </c>
      <c r="F1336" s="1">
        <f t="shared" si="59"/>
        <v>41.5</v>
      </c>
      <c r="G1336" s="1">
        <v>30</v>
      </c>
      <c r="H1336" s="1">
        <f t="shared" si="60"/>
        <v>30</v>
      </c>
      <c r="I1336" s="1">
        <v>35</v>
      </c>
      <c r="J1336" s="1">
        <f t="shared" si="61"/>
        <v>54.75</v>
      </c>
      <c r="K1336" s="1">
        <v>5</v>
      </c>
      <c r="L1336" s="1">
        <v>9</v>
      </c>
      <c r="M1336" s="1">
        <v>14</v>
      </c>
      <c r="P1336" s="2" t="s">
        <v>551</v>
      </c>
      <c r="Q1336" s="2" t="s">
        <v>551</v>
      </c>
      <c r="R1336" s="2" t="s">
        <v>551</v>
      </c>
      <c r="S1336" s="1">
        <v>29</v>
      </c>
    </row>
    <row r="1337" spans="1:19" x14ac:dyDescent="0.25">
      <c r="A1337" s="12">
        <v>44035</v>
      </c>
      <c r="B1337" s="14" t="s">
        <v>1349</v>
      </c>
      <c r="C1337" s="1">
        <v>9</v>
      </c>
      <c r="D1337" s="1">
        <v>13</v>
      </c>
      <c r="E1337" s="1">
        <v>22</v>
      </c>
      <c r="F1337" s="1">
        <f t="shared" si="59"/>
        <v>39.75</v>
      </c>
      <c r="G1337" s="1">
        <v>26</v>
      </c>
      <c r="H1337" s="1">
        <f t="shared" si="60"/>
        <v>36.25</v>
      </c>
      <c r="I1337" s="1">
        <v>36</v>
      </c>
      <c r="J1337" s="1">
        <f t="shared" si="61"/>
        <v>51.5</v>
      </c>
      <c r="K1337" s="1">
        <v>5</v>
      </c>
      <c r="L1337" s="1">
        <v>10</v>
      </c>
      <c r="M1337" s="1">
        <v>15</v>
      </c>
      <c r="P1337" s="2" t="s">
        <v>551</v>
      </c>
      <c r="Q1337" s="2" t="s">
        <v>551</v>
      </c>
      <c r="R1337" s="2" t="s">
        <v>551</v>
      </c>
      <c r="S1337" s="1">
        <v>30</v>
      </c>
    </row>
    <row r="1338" spans="1:19" x14ac:dyDescent="0.25">
      <c r="A1338" s="12">
        <v>44042</v>
      </c>
      <c r="B1338" s="14" t="s">
        <v>1350</v>
      </c>
      <c r="C1338" s="1">
        <v>14</v>
      </c>
      <c r="D1338" s="1">
        <v>19</v>
      </c>
      <c r="E1338" s="1">
        <v>33</v>
      </c>
      <c r="F1338" s="1">
        <f t="shared" si="59"/>
        <v>43.75</v>
      </c>
      <c r="G1338" s="1">
        <v>25</v>
      </c>
      <c r="H1338" s="1">
        <f t="shared" si="60"/>
        <v>34.25</v>
      </c>
      <c r="I1338" s="1">
        <v>35</v>
      </c>
      <c r="J1338" s="1">
        <f t="shared" si="61"/>
        <v>51.25</v>
      </c>
      <c r="K1338" s="1">
        <v>3</v>
      </c>
      <c r="L1338" s="1">
        <v>6</v>
      </c>
      <c r="M1338" s="1">
        <v>9</v>
      </c>
      <c r="P1338" s="2" t="s">
        <v>551</v>
      </c>
      <c r="Q1338" s="2" t="s">
        <v>551</v>
      </c>
      <c r="R1338" s="2" t="s">
        <v>551</v>
      </c>
      <c r="S1338" s="1">
        <v>31</v>
      </c>
    </row>
    <row r="1339" spans="1:19" x14ac:dyDescent="0.25">
      <c r="A1339" s="12">
        <v>44049</v>
      </c>
      <c r="B1339" s="14" t="s">
        <v>1351</v>
      </c>
      <c r="C1339" s="1">
        <v>10</v>
      </c>
      <c r="D1339" s="1">
        <v>13</v>
      </c>
      <c r="E1339" s="1">
        <v>23</v>
      </c>
      <c r="F1339" s="1">
        <f t="shared" si="59"/>
        <v>40.25</v>
      </c>
      <c r="G1339" s="1">
        <v>36</v>
      </c>
      <c r="H1339" s="1">
        <f t="shared" si="60"/>
        <v>34.75</v>
      </c>
      <c r="I1339" s="1">
        <v>46</v>
      </c>
      <c r="J1339" s="1">
        <f t="shared" si="61"/>
        <v>57</v>
      </c>
      <c r="K1339" s="1">
        <v>5</v>
      </c>
      <c r="L1339" s="1">
        <v>9</v>
      </c>
      <c r="M1339" s="1">
        <v>14</v>
      </c>
      <c r="P1339" s="2" t="s">
        <v>551</v>
      </c>
      <c r="Q1339" s="2" t="s">
        <v>551</v>
      </c>
      <c r="R1339" s="2" t="s">
        <v>551</v>
      </c>
      <c r="S1339" s="1">
        <v>32</v>
      </c>
    </row>
    <row r="1340" spans="1:19" x14ac:dyDescent="0.25">
      <c r="A1340" s="12">
        <v>44056</v>
      </c>
      <c r="B1340" s="14" t="s">
        <v>1352</v>
      </c>
      <c r="C1340" s="1">
        <v>13</v>
      </c>
      <c r="D1340" s="1">
        <v>14</v>
      </c>
      <c r="E1340" s="1">
        <v>27</v>
      </c>
      <c r="F1340" s="1">
        <f t="shared" ref="F1340:F1371" si="62">AVERAGE(E1288,E1236,E1184,E1132)</f>
        <v>39.75</v>
      </c>
      <c r="G1340" s="1">
        <v>29</v>
      </c>
      <c r="H1340" s="1">
        <f t="shared" ref="H1340:H1371" si="63">AVERAGE(G1288,G1236,G1184,G1132)</f>
        <v>37</v>
      </c>
      <c r="I1340" s="1">
        <v>42</v>
      </c>
      <c r="J1340" s="1">
        <f t="shared" ref="J1340:J1371" si="64">AVERAGE(I1288,I1236,I1184,I1132)</f>
        <v>59.25</v>
      </c>
      <c r="K1340" s="1">
        <v>5</v>
      </c>
      <c r="L1340" s="1">
        <v>5</v>
      </c>
      <c r="M1340" s="1">
        <v>10</v>
      </c>
      <c r="P1340" s="2" t="s">
        <v>551</v>
      </c>
      <c r="Q1340" s="2" t="s">
        <v>551</v>
      </c>
      <c r="R1340" s="2" t="s">
        <v>551</v>
      </c>
      <c r="S1340" s="1">
        <v>33</v>
      </c>
    </row>
    <row r="1341" spans="1:19" x14ac:dyDescent="0.25">
      <c r="A1341" s="12">
        <v>44063</v>
      </c>
      <c r="B1341" s="14" t="s">
        <v>1353</v>
      </c>
      <c r="C1341" s="1">
        <v>12</v>
      </c>
      <c r="D1341" s="1">
        <v>16</v>
      </c>
      <c r="E1341" s="1">
        <v>28</v>
      </c>
      <c r="F1341" s="1">
        <f t="shared" si="62"/>
        <v>41.75</v>
      </c>
      <c r="G1341" s="1">
        <v>35</v>
      </c>
      <c r="H1341" s="1">
        <f t="shared" si="63"/>
        <v>37.5</v>
      </c>
      <c r="I1341" s="1">
        <v>41</v>
      </c>
      <c r="J1341" s="1">
        <f t="shared" si="64"/>
        <v>52</v>
      </c>
      <c r="K1341" s="1">
        <v>4</v>
      </c>
      <c r="L1341" s="1">
        <v>7</v>
      </c>
      <c r="M1341" s="1">
        <v>11</v>
      </c>
      <c r="P1341" s="2" t="s">
        <v>551</v>
      </c>
      <c r="Q1341" s="2" t="s">
        <v>551</v>
      </c>
      <c r="R1341" s="2" t="s">
        <v>551</v>
      </c>
      <c r="S1341" s="1">
        <v>34</v>
      </c>
    </row>
    <row r="1342" spans="1:19" x14ac:dyDescent="0.25">
      <c r="A1342" s="12">
        <v>44070</v>
      </c>
      <c r="B1342" s="14" t="s">
        <v>1354</v>
      </c>
      <c r="C1342" s="1">
        <v>11</v>
      </c>
      <c r="D1342" s="1">
        <v>17</v>
      </c>
      <c r="E1342" s="1">
        <v>28</v>
      </c>
      <c r="F1342" s="1">
        <f t="shared" si="62"/>
        <v>35</v>
      </c>
      <c r="G1342" s="1">
        <v>23</v>
      </c>
      <c r="H1342" s="1">
        <f t="shared" si="63"/>
        <v>38.75</v>
      </c>
      <c r="I1342" s="1">
        <v>52</v>
      </c>
      <c r="J1342" s="1">
        <f t="shared" si="64"/>
        <v>51.5</v>
      </c>
      <c r="K1342" s="1">
        <v>6</v>
      </c>
      <c r="L1342" s="1">
        <v>8</v>
      </c>
      <c r="M1342" s="1">
        <v>14</v>
      </c>
      <c r="P1342" s="2" t="s">
        <v>551</v>
      </c>
      <c r="Q1342" s="2" t="s">
        <v>551</v>
      </c>
      <c r="R1342" s="2" t="s">
        <v>551</v>
      </c>
      <c r="S1342" s="1">
        <v>35</v>
      </c>
    </row>
    <row r="1343" spans="1:19" x14ac:dyDescent="0.25">
      <c r="A1343" s="12">
        <v>44077</v>
      </c>
      <c r="B1343" s="14" t="s">
        <v>1355</v>
      </c>
      <c r="C1343" s="1">
        <v>13</v>
      </c>
      <c r="D1343" s="1">
        <v>20</v>
      </c>
      <c r="E1343" s="1">
        <v>32</v>
      </c>
      <c r="F1343" s="1">
        <f t="shared" si="62"/>
        <v>35.75</v>
      </c>
      <c r="G1343" s="1">
        <v>35</v>
      </c>
      <c r="H1343" s="1">
        <f t="shared" si="63"/>
        <v>35.5</v>
      </c>
      <c r="I1343" s="1">
        <v>68</v>
      </c>
      <c r="J1343" s="1">
        <f t="shared" si="64"/>
        <v>49.5</v>
      </c>
      <c r="K1343" s="1">
        <v>4</v>
      </c>
      <c r="L1343" s="1">
        <v>9</v>
      </c>
      <c r="M1343" s="1">
        <v>13</v>
      </c>
      <c r="P1343" s="2" t="s">
        <v>551</v>
      </c>
      <c r="Q1343" s="2" t="s">
        <v>551</v>
      </c>
      <c r="R1343" s="2" t="s">
        <v>551</v>
      </c>
      <c r="S1343" s="1">
        <v>36</v>
      </c>
    </row>
    <row r="1344" spans="1:19" x14ac:dyDescent="0.25">
      <c r="A1344" s="12">
        <v>44084</v>
      </c>
      <c r="B1344" s="14" t="s">
        <v>1356</v>
      </c>
      <c r="C1344" s="1">
        <v>15</v>
      </c>
      <c r="D1344" s="1">
        <v>20</v>
      </c>
      <c r="E1344" s="1">
        <v>35</v>
      </c>
      <c r="F1344" s="1">
        <f t="shared" si="62"/>
        <v>35.25</v>
      </c>
      <c r="G1344" s="1">
        <v>43</v>
      </c>
      <c r="H1344" s="1">
        <f t="shared" si="63"/>
        <v>36.25</v>
      </c>
      <c r="I1344" s="1">
        <v>65</v>
      </c>
      <c r="J1344" s="1">
        <f t="shared" si="64"/>
        <v>55.75</v>
      </c>
      <c r="K1344" s="1">
        <v>5</v>
      </c>
      <c r="L1344" s="1">
        <v>8</v>
      </c>
      <c r="M1344" s="1">
        <v>13</v>
      </c>
      <c r="P1344" s="2" t="s">
        <v>551</v>
      </c>
      <c r="Q1344" s="2" t="s">
        <v>551</v>
      </c>
      <c r="R1344" s="2" t="s">
        <v>551</v>
      </c>
      <c r="S1344" s="1">
        <v>37</v>
      </c>
    </row>
    <row r="1345" spans="1:19" x14ac:dyDescent="0.25">
      <c r="A1345" s="12">
        <v>44091</v>
      </c>
      <c r="B1345" s="14" t="s">
        <v>1357</v>
      </c>
      <c r="C1345" s="1">
        <v>16</v>
      </c>
      <c r="D1345" s="1">
        <v>23</v>
      </c>
      <c r="E1345" s="1">
        <v>39</v>
      </c>
      <c r="F1345" s="1">
        <f t="shared" si="62"/>
        <v>41.75</v>
      </c>
      <c r="G1345" s="1">
        <v>33</v>
      </c>
      <c r="H1345" s="1">
        <f t="shared" si="63"/>
        <v>31.5</v>
      </c>
      <c r="I1345" s="1">
        <v>64</v>
      </c>
      <c r="J1345" s="1">
        <f t="shared" si="64"/>
        <v>56.5</v>
      </c>
      <c r="K1345" s="1">
        <v>5</v>
      </c>
      <c r="L1345" s="1">
        <v>15</v>
      </c>
      <c r="M1345" s="1">
        <v>20</v>
      </c>
      <c r="P1345" s="2" t="s">
        <v>551</v>
      </c>
      <c r="Q1345" s="2" t="s">
        <v>551</v>
      </c>
      <c r="R1345" s="2" t="s">
        <v>551</v>
      </c>
      <c r="S1345" s="1">
        <v>38</v>
      </c>
    </row>
    <row r="1346" spans="1:19" x14ac:dyDescent="0.25">
      <c r="A1346" s="12">
        <v>44098</v>
      </c>
      <c r="B1346" s="14" t="s">
        <v>1358</v>
      </c>
      <c r="C1346" s="1">
        <v>15</v>
      </c>
      <c r="D1346" s="1">
        <v>45</v>
      </c>
      <c r="E1346" s="1">
        <v>60</v>
      </c>
      <c r="F1346" s="1">
        <f t="shared" si="62"/>
        <v>43.75</v>
      </c>
      <c r="G1346" s="1">
        <v>24</v>
      </c>
      <c r="H1346" s="1">
        <f t="shared" si="63"/>
        <v>36.25</v>
      </c>
      <c r="I1346" s="1">
        <v>61</v>
      </c>
      <c r="J1346" s="1">
        <f t="shared" si="64"/>
        <v>60.75</v>
      </c>
      <c r="K1346" s="1">
        <v>6</v>
      </c>
      <c r="L1346" s="1">
        <v>10</v>
      </c>
      <c r="M1346" s="1">
        <v>16</v>
      </c>
      <c r="P1346" s="2" t="s">
        <v>551</v>
      </c>
      <c r="Q1346" s="2" t="s">
        <v>551</v>
      </c>
      <c r="R1346" s="2" t="s">
        <v>551</v>
      </c>
      <c r="S1346" s="1">
        <v>39</v>
      </c>
    </row>
    <row r="1347" spans="1:19" x14ac:dyDescent="0.25">
      <c r="A1347" s="12">
        <v>44105</v>
      </c>
      <c r="B1347" s="14" t="s">
        <v>1359</v>
      </c>
      <c r="C1347" s="1">
        <v>15</v>
      </c>
      <c r="D1347" s="1">
        <v>38</v>
      </c>
      <c r="E1347" s="1">
        <v>53</v>
      </c>
      <c r="F1347" s="1">
        <f t="shared" si="62"/>
        <v>47.5</v>
      </c>
      <c r="G1347" s="1">
        <v>43</v>
      </c>
      <c r="H1347" s="1">
        <f t="shared" si="63"/>
        <v>37.5</v>
      </c>
      <c r="I1347" s="1">
        <v>55</v>
      </c>
      <c r="J1347" s="1">
        <f t="shared" si="64"/>
        <v>61.75</v>
      </c>
      <c r="K1347" s="1">
        <v>5</v>
      </c>
      <c r="L1347" s="1">
        <v>10</v>
      </c>
      <c r="M1347" s="1">
        <v>15</v>
      </c>
      <c r="P1347" s="2" t="s">
        <v>551</v>
      </c>
      <c r="Q1347" s="2" t="s">
        <v>551</v>
      </c>
      <c r="R1347" s="2" t="s">
        <v>551</v>
      </c>
      <c r="S1347" s="1">
        <v>40</v>
      </c>
    </row>
    <row r="1348" spans="1:19" x14ac:dyDescent="0.25">
      <c r="A1348" s="12">
        <v>44112</v>
      </c>
      <c r="B1348" s="14" t="s">
        <v>1360</v>
      </c>
      <c r="C1348" s="1">
        <v>11</v>
      </c>
      <c r="D1348" s="1">
        <v>37</v>
      </c>
      <c r="E1348" s="1">
        <v>48</v>
      </c>
      <c r="F1348" s="1">
        <f t="shared" si="62"/>
        <v>46.25</v>
      </c>
      <c r="G1348" s="1">
        <v>44</v>
      </c>
      <c r="H1348" s="1">
        <f t="shared" si="63"/>
        <v>37.75</v>
      </c>
      <c r="I1348" s="1">
        <v>57</v>
      </c>
      <c r="J1348" s="1">
        <f t="shared" si="64"/>
        <v>61.25</v>
      </c>
      <c r="K1348" s="1">
        <v>6</v>
      </c>
      <c r="L1348" s="1">
        <v>13</v>
      </c>
      <c r="M1348" s="1">
        <v>19</v>
      </c>
      <c r="P1348" s="2" t="s">
        <v>551</v>
      </c>
      <c r="Q1348" s="2" t="s">
        <v>551</v>
      </c>
      <c r="R1348" s="2" t="s">
        <v>551</v>
      </c>
      <c r="S1348" s="1">
        <v>41</v>
      </c>
    </row>
    <row r="1349" spans="1:19" x14ac:dyDescent="0.25">
      <c r="A1349" s="12">
        <v>44119</v>
      </c>
      <c r="B1349" s="14" t="s">
        <v>1361</v>
      </c>
      <c r="C1349" s="1">
        <v>16</v>
      </c>
      <c r="D1349" s="1">
        <v>32</v>
      </c>
      <c r="E1349" s="1">
        <v>48</v>
      </c>
      <c r="F1349" s="1">
        <f t="shared" si="62"/>
        <v>49</v>
      </c>
      <c r="G1349" s="1">
        <v>33</v>
      </c>
      <c r="H1349" s="1">
        <f t="shared" si="63"/>
        <v>39.5</v>
      </c>
      <c r="I1349" s="1">
        <v>65</v>
      </c>
      <c r="J1349" s="1">
        <f t="shared" si="64"/>
        <v>58</v>
      </c>
      <c r="K1349" s="1">
        <v>5</v>
      </c>
      <c r="L1349" s="1">
        <v>12</v>
      </c>
      <c r="M1349" s="1">
        <v>17</v>
      </c>
      <c r="P1349" s="2" t="s">
        <v>551</v>
      </c>
      <c r="Q1349" s="2" t="s">
        <v>551</v>
      </c>
      <c r="R1349" s="2" t="s">
        <v>551</v>
      </c>
      <c r="S1349" s="1">
        <v>42</v>
      </c>
    </row>
    <row r="1350" spans="1:19" x14ac:dyDescent="0.25">
      <c r="A1350" s="12">
        <v>44126</v>
      </c>
      <c r="B1350" s="14" t="s">
        <v>1362</v>
      </c>
      <c r="C1350" s="1">
        <v>17</v>
      </c>
      <c r="D1350" s="1">
        <v>39</v>
      </c>
      <c r="E1350" s="1">
        <v>56</v>
      </c>
      <c r="F1350" s="1">
        <f t="shared" si="62"/>
        <v>46.5</v>
      </c>
      <c r="G1350" s="1">
        <v>38</v>
      </c>
      <c r="H1350" s="1">
        <f t="shared" si="63"/>
        <v>36.75</v>
      </c>
      <c r="I1350" s="1">
        <v>56</v>
      </c>
      <c r="J1350" s="1">
        <f t="shared" si="64"/>
        <v>57.5</v>
      </c>
      <c r="K1350" s="1">
        <v>5</v>
      </c>
      <c r="L1350" s="1">
        <v>11</v>
      </c>
      <c r="M1350" s="1">
        <v>16</v>
      </c>
      <c r="P1350" s="2" t="s">
        <v>551</v>
      </c>
      <c r="Q1350" s="2" t="s">
        <v>551</v>
      </c>
      <c r="R1350" s="2" t="s">
        <v>551</v>
      </c>
      <c r="S1350" s="1">
        <v>43</v>
      </c>
    </row>
    <row r="1351" spans="1:19" x14ac:dyDescent="0.25">
      <c r="A1351" s="12">
        <v>44133</v>
      </c>
      <c r="B1351" s="14" t="s">
        <v>1363</v>
      </c>
      <c r="C1351" s="1">
        <v>12</v>
      </c>
      <c r="D1351" s="1">
        <v>34</v>
      </c>
      <c r="E1351" s="1">
        <v>46</v>
      </c>
      <c r="F1351" s="1">
        <f t="shared" si="62"/>
        <v>49.75</v>
      </c>
      <c r="G1351" s="1">
        <v>36</v>
      </c>
      <c r="H1351" s="1">
        <f t="shared" si="63"/>
        <v>37</v>
      </c>
      <c r="I1351" s="1">
        <v>59</v>
      </c>
      <c r="J1351" s="1">
        <f t="shared" si="64"/>
        <v>55.25</v>
      </c>
      <c r="K1351" s="1">
        <v>6</v>
      </c>
      <c r="L1351" s="1">
        <v>13</v>
      </c>
      <c r="M1351" s="1">
        <v>19</v>
      </c>
      <c r="P1351" s="2" t="s">
        <v>551</v>
      </c>
      <c r="Q1351" s="2" t="s">
        <v>551</v>
      </c>
      <c r="R1351" s="2" t="s">
        <v>551</v>
      </c>
      <c r="S1351" s="1">
        <v>44</v>
      </c>
    </row>
    <row r="1352" spans="1:19" x14ac:dyDescent="0.25">
      <c r="A1352" s="12">
        <v>44140</v>
      </c>
      <c r="B1352" s="14" t="s">
        <v>1364</v>
      </c>
      <c r="C1352" s="1">
        <v>18</v>
      </c>
      <c r="D1352" s="1">
        <v>32</v>
      </c>
      <c r="E1352" s="1">
        <v>50</v>
      </c>
      <c r="F1352" s="1">
        <f t="shared" si="62"/>
        <v>43.25</v>
      </c>
      <c r="G1352" s="1">
        <v>35</v>
      </c>
      <c r="H1352" s="1">
        <f t="shared" si="63"/>
        <v>41.25</v>
      </c>
      <c r="I1352" s="1">
        <v>61</v>
      </c>
      <c r="J1352" s="1">
        <f t="shared" si="64"/>
        <v>55.25</v>
      </c>
      <c r="K1352" s="1">
        <v>6</v>
      </c>
      <c r="L1352" s="1">
        <v>6</v>
      </c>
      <c r="M1352" s="1">
        <v>12</v>
      </c>
      <c r="P1352" s="2" t="s">
        <v>551</v>
      </c>
      <c r="Q1352" s="2" t="s">
        <v>551</v>
      </c>
      <c r="R1352" s="2" t="s">
        <v>551</v>
      </c>
      <c r="S1352" s="1">
        <v>45</v>
      </c>
    </row>
    <row r="1353" spans="1:19" x14ac:dyDescent="0.25">
      <c r="A1353" s="12">
        <v>44147</v>
      </c>
      <c r="B1353" s="14" t="s">
        <v>1365</v>
      </c>
      <c r="C1353" s="1">
        <v>15</v>
      </c>
      <c r="D1353" s="1">
        <v>37</v>
      </c>
      <c r="E1353" s="1">
        <v>52</v>
      </c>
      <c r="F1353" s="1">
        <f t="shared" si="62"/>
        <v>43</v>
      </c>
      <c r="G1353" s="1">
        <v>41</v>
      </c>
      <c r="H1353" s="1">
        <f t="shared" si="63"/>
        <v>38.5</v>
      </c>
      <c r="I1353" s="1">
        <v>66</v>
      </c>
      <c r="J1353" s="1">
        <f t="shared" si="64"/>
        <v>58.75</v>
      </c>
      <c r="K1353" s="1">
        <v>5</v>
      </c>
      <c r="L1353" s="1">
        <v>12</v>
      </c>
      <c r="M1353" s="1">
        <v>17</v>
      </c>
      <c r="P1353" s="2" t="s">
        <v>551</v>
      </c>
      <c r="Q1353" s="2" t="s">
        <v>551</v>
      </c>
      <c r="R1353" s="2" t="s">
        <v>551</v>
      </c>
      <c r="S1353" s="1">
        <v>46</v>
      </c>
    </row>
    <row r="1354" spans="1:19" x14ac:dyDescent="0.25">
      <c r="A1354" s="12">
        <v>44154</v>
      </c>
      <c r="B1354" s="14" t="s">
        <v>1366</v>
      </c>
      <c r="C1354" s="1">
        <v>19</v>
      </c>
      <c r="D1354" s="1">
        <v>40</v>
      </c>
      <c r="E1354" s="1">
        <v>59</v>
      </c>
      <c r="F1354" s="1">
        <f t="shared" si="62"/>
        <v>38.75</v>
      </c>
      <c r="G1354" s="1">
        <v>37</v>
      </c>
      <c r="H1354" s="1">
        <f t="shared" si="63"/>
        <v>38.25</v>
      </c>
      <c r="I1354" s="1">
        <v>60</v>
      </c>
      <c r="J1354" s="1">
        <f t="shared" si="64"/>
        <v>56.5</v>
      </c>
      <c r="K1354" s="1">
        <v>6</v>
      </c>
      <c r="L1354" s="1">
        <v>14</v>
      </c>
      <c r="M1354" s="1">
        <v>20</v>
      </c>
      <c r="P1354" s="2" t="s">
        <v>551</v>
      </c>
      <c r="Q1354" s="2" t="s">
        <v>551</v>
      </c>
      <c r="R1354" s="2" t="s">
        <v>551</v>
      </c>
      <c r="S1354" s="1">
        <v>47</v>
      </c>
    </row>
    <row r="1355" spans="1:19" x14ac:dyDescent="0.25">
      <c r="A1355" s="12">
        <v>44161</v>
      </c>
      <c r="B1355" s="14" t="s">
        <v>1367</v>
      </c>
      <c r="C1355" s="1">
        <v>18</v>
      </c>
      <c r="D1355" s="1">
        <v>40</v>
      </c>
      <c r="E1355" s="1">
        <v>58</v>
      </c>
      <c r="F1355" s="1">
        <f t="shared" si="62"/>
        <v>37.25</v>
      </c>
      <c r="G1355" s="1">
        <v>39</v>
      </c>
      <c r="H1355" s="1">
        <f t="shared" si="63"/>
        <v>42.25</v>
      </c>
      <c r="I1355" s="1">
        <v>62</v>
      </c>
      <c r="J1355" s="1">
        <f t="shared" si="64"/>
        <v>54.75</v>
      </c>
      <c r="K1355" s="2" t="s">
        <v>551</v>
      </c>
      <c r="L1355" s="2" t="s">
        <v>551</v>
      </c>
      <c r="M1355" s="2" t="s">
        <v>551</v>
      </c>
      <c r="P1355" s="2" t="s">
        <v>551</v>
      </c>
      <c r="Q1355" s="2" t="s">
        <v>551</v>
      </c>
      <c r="R1355" s="2" t="s">
        <v>551</v>
      </c>
      <c r="S1355" s="1">
        <v>48</v>
      </c>
    </row>
    <row r="1356" spans="1:19" x14ac:dyDescent="0.25">
      <c r="A1356" s="12">
        <v>44168</v>
      </c>
      <c r="B1356" s="14" t="s">
        <v>1368</v>
      </c>
      <c r="C1356" s="1">
        <v>18</v>
      </c>
      <c r="D1356" s="1">
        <v>40</v>
      </c>
      <c r="E1356" s="1">
        <v>58</v>
      </c>
      <c r="F1356" s="1">
        <f t="shared" si="62"/>
        <v>32.5</v>
      </c>
      <c r="G1356" s="1">
        <v>35</v>
      </c>
      <c r="H1356" s="1">
        <f t="shared" si="63"/>
        <v>36</v>
      </c>
      <c r="I1356" s="1">
        <v>62</v>
      </c>
      <c r="J1356" s="1">
        <f t="shared" si="64"/>
        <v>62.75</v>
      </c>
      <c r="K1356" s="1">
        <v>5</v>
      </c>
      <c r="L1356" s="1">
        <v>13</v>
      </c>
      <c r="M1356" s="1">
        <v>18</v>
      </c>
      <c r="P1356" s="2" t="s">
        <v>551</v>
      </c>
      <c r="Q1356" s="2" t="s">
        <v>551</v>
      </c>
      <c r="R1356" s="2" t="s">
        <v>551</v>
      </c>
      <c r="S1356" s="1">
        <v>49</v>
      </c>
    </row>
    <row r="1357" spans="1:19" x14ac:dyDescent="0.25">
      <c r="A1357" s="12">
        <v>44175</v>
      </c>
      <c r="B1357" s="14" t="s">
        <v>1369</v>
      </c>
      <c r="C1357" s="1">
        <v>19</v>
      </c>
      <c r="D1357" s="1">
        <v>33</v>
      </c>
      <c r="E1357" s="1">
        <v>52</v>
      </c>
      <c r="F1357" s="1">
        <f t="shared" si="62"/>
        <v>34.75</v>
      </c>
      <c r="G1357" s="1">
        <v>45</v>
      </c>
      <c r="H1357" s="1">
        <f t="shared" si="63"/>
        <v>38.25</v>
      </c>
      <c r="I1357" s="1">
        <v>66</v>
      </c>
      <c r="J1357" s="1">
        <f t="shared" si="64"/>
        <v>59.25</v>
      </c>
      <c r="K1357" s="1">
        <v>6</v>
      </c>
      <c r="L1357" s="1">
        <v>14</v>
      </c>
      <c r="M1357" s="1">
        <v>20</v>
      </c>
      <c r="P1357" s="2" t="s">
        <v>551</v>
      </c>
      <c r="Q1357" s="2" t="s">
        <v>551</v>
      </c>
      <c r="R1357" s="2" t="s">
        <v>551</v>
      </c>
      <c r="S1357" s="1">
        <v>50</v>
      </c>
    </row>
    <row r="1358" spans="1:19" x14ac:dyDescent="0.25">
      <c r="A1358" s="12">
        <v>44182</v>
      </c>
      <c r="B1358" s="14" t="s">
        <v>1370</v>
      </c>
      <c r="C1358" s="1">
        <v>17</v>
      </c>
      <c r="D1358" s="1">
        <v>42</v>
      </c>
      <c r="E1358" s="1">
        <v>59</v>
      </c>
      <c r="F1358" s="1">
        <f t="shared" si="62"/>
        <v>44.25</v>
      </c>
      <c r="G1358" s="1">
        <v>43</v>
      </c>
      <c r="H1358" s="1">
        <f t="shared" si="63"/>
        <v>33.75</v>
      </c>
      <c r="I1358" s="1">
        <v>52</v>
      </c>
      <c r="J1358" s="1">
        <f t="shared" si="64"/>
        <v>52.5</v>
      </c>
      <c r="K1358" s="1">
        <v>6</v>
      </c>
      <c r="L1358" s="1">
        <v>13</v>
      </c>
      <c r="M1358" s="1">
        <v>19</v>
      </c>
      <c r="P1358" s="2" t="s">
        <v>551</v>
      </c>
      <c r="Q1358" s="2" t="s">
        <v>551</v>
      </c>
      <c r="R1358" s="2" t="s">
        <v>551</v>
      </c>
      <c r="S1358" s="1">
        <v>51</v>
      </c>
    </row>
    <row r="1359" spans="1:19" x14ac:dyDescent="0.25">
      <c r="A1359" s="12">
        <v>44189</v>
      </c>
      <c r="B1359" s="14" t="s">
        <v>1371</v>
      </c>
      <c r="C1359" s="1">
        <v>17</v>
      </c>
      <c r="D1359" s="1">
        <v>33</v>
      </c>
      <c r="E1359" s="1">
        <v>50</v>
      </c>
      <c r="F1359" s="1">
        <f t="shared" si="62"/>
        <v>41</v>
      </c>
      <c r="G1359" s="1">
        <v>46</v>
      </c>
      <c r="H1359" s="1">
        <f t="shared" si="63"/>
        <v>34.75</v>
      </c>
      <c r="I1359" s="1">
        <v>57</v>
      </c>
      <c r="J1359" s="1">
        <f t="shared" si="64"/>
        <v>55.5</v>
      </c>
      <c r="K1359" s="1">
        <v>6</v>
      </c>
      <c r="L1359" s="1">
        <v>14</v>
      </c>
      <c r="M1359" s="1">
        <v>20</v>
      </c>
      <c r="P1359" s="2" t="s">
        <v>551</v>
      </c>
      <c r="Q1359" s="2" t="s">
        <v>551</v>
      </c>
      <c r="R1359" s="2" t="s">
        <v>551</v>
      </c>
      <c r="S1359" s="1">
        <v>52</v>
      </c>
    </row>
    <row r="1360" spans="1:19" x14ac:dyDescent="0.25">
      <c r="A1360" s="12">
        <v>44196</v>
      </c>
      <c r="B1360" s="14" t="s">
        <v>1372</v>
      </c>
      <c r="C1360" s="1">
        <v>18</v>
      </c>
      <c r="D1360" s="1">
        <v>14</v>
      </c>
      <c r="E1360" s="1">
        <v>32</v>
      </c>
      <c r="F1360" s="1">
        <f t="shared" si="62"/>
        <v>37</v>
      </c>
      <c r="G1360" s="1">
        <v>40</v>
      </c>
      <c r="H1360" s="1">
        <f t="shared" si="63"/>
        <v>34</v>
      </c>
      <c r="I1360" s="1">
        <v>66</v>
      </c>
      <c r="J1360" s="1">
        <f t="shared" si="64"/>
        <v>55.25</v>
      </c>
      <c r="K1360" s="1">
        <v>6</v>
      </c>
      <c r="L1360" s="1">
        <v>12</v>
      </c>
      <c r="M1360" s="1">
        <v>18</v>
      </c>
      <c r="P1360" s="2" t="s">
        <v>551</v>
      </c>
      <c r="Q1360" s="2" t="s">
        <v>551</v>
      </c>
      <c r="R1360" s="2" t="s">
        <v>551</v>
      </c>
      <c r="S1360" s="1">
        <v>53</v>
      </c>
    </row>
    <row r="1361" spans="1:19" x14ac:dyDescent="0.25">
      <c r="A1361" s="12">
        <v>44203</v>
      </c>
      <c r="B1361" s="14" t="s">
        <v>1373</v>
      </c>
      <c r="C1361" s="1">
        <v>16</v>
      </c>
      <c r="D1361" s="1">
        <v>23</v>
      </c>
      <c r="E1361" s="1">
        <v>39</v>
      </c>
      <c r="F1361" s="1">
        <f t="shared" si="62"/>
        <v>42.25</v>
      </c>
      <c r="G1361" s="1">
        <v>41</v>
      </c>
      <c r="H1361" s="1">
        <f t="shared" si="63"/>
        <v>36.75</v>
      </c>
      <c r="I1361" s="1">
        <v>69</v>
      </c>
      <c r="J1361" s="1">
        <f t="shared" si="64"/>
        <v>63.5</v>
      </c>
      <c r="K1361" s="1">
        <v>7</v>
      </c>
      <c r="L1361" s="1">
        <v>9</v>
      </c>
      <c r="M1361" s="1">
        <v>16</v>
      </c>
      <c r="P1361" s="2" t="s">
        <v>551</v>
      </c>
      <c r="Q1361" s="2" t="s">
        <v>551</v>
      </c>
      <c r="R1361" s="2" t="s">
        <v>551</v>
      </c>
      <c r="S1361" s="1">
        <v>1</v>
      </c>
    </row>
    <row r="1362" spans="1:19" x14ac:dyDescent="0.25">
      <c r="A1362" s="12">
        <v>44210</v>
      </c>
      <c r="B1362" s="14" t="s">
        <v>1374</v>
      </c>
      <c r="C1362" s="1">
        <v>16</v>
      </c>
      <c r="D1362" s="1">
        <v>30</v>
      </c>
      <c r="E1362" s="1">
        <v>46</v>
      </c>
      <c r="F1362" s="1">
        <f t="shared" si="62"/>
        <v>47.75</v>
      </c>
      <c r="G1362" s="1">
        <v>43</v>
      </c>
      <c r="H1362" s="1">
        <f t="shared" si="63"/>
        <v>35</v>
      </c>
      <c r="I1362" s="1">
        <v>68</v>
      </c>
      <c r="J1362" s="1">
        <f t="shared" si="64"/>
        <v>60.75</v>
      </c>
      <c r="K1362" s="1">
        <v>5</v>
      </c>
      <c r="L1362" s="1">
        <v>12</v>
      </c>
      <c r="M1362" s="1">
        <v>17</v>
      </c>
      <c r="P1362" s="2" t="s">
        <v>551</v>
      </c>
      <c r="Q1362" s="2" t="s">
        <v>551</v>
      </c>
      <c r="R1362" s="2" t="s">
        <v>551</v>
      </c>
      <c r="S1362" s="1">
        <v>2</v>
      </c>
    </row>
    <row r="1363" spans="1:19" x14ac:dyDescent="0.25">
      <c r="A1363" s="12">
        <v>44217</v>
      </c>
      <c r="B1363" s="14" t="s">
        <v>1375</v>
      </c>
      <c r="C1363" s="1">
        <v>14</v>
      </c>
      <c r="D1363" s="1">
        <v>33</v>
      </c>
      <c r="E1363" s="1">
        <v>47</v>
      </c>
      <c r="F1363" s="1">
        <f t="shared" si="62"/>
        <v>50.25</v>
      </c>
      <c r="G1363" s="1">
        <v>47</v>
      </c>
      <c r="H1363" s="1">
        <f t="shared" si="63"/>
        <v>35.75</v>
      </c>
      <c r="I1363" s="1">
        <v>54</v>
      </c>
      <c r="J1363" s="1">
        <f t="shared" si="64"/>
        <v>55.25</v>
      </c>
      <c r="K1363" s="1">
        <v>6</v>
      </c>
      <c r="L1363" s="1">
        <v>12</v>
      </c>
      <c r="M1363" s="1">
        <v>18</v>
      </c>
      <c r="P1363" s="2" t="s">
        <v>551</v>
      </c>
      <c r="Q1363" s="2" t="s">
        <v>551</v>
      </c>
      <c r="R1363" s="2" t="s">
        <v>551</v>
      </c>
      <c r="S1363" s="1">
        <v>3</v>
      </c>
    </row>
    <row r="1364" spans="1:19" x14ac:dyDescent="0.25">
      <c r="A1364" s="12">
        <v>44224</v>
      </c>
      <c r="B1364" s="14" t="s">
        <v>1376</v>
      </c>
      <c r="C1364" s="1">
        <v>13</v>
      </c>
      <c r="D1364" s="1">
        <v>24</v>
      </c>
      <c r="E1364" s="1">
        <v>37</v>
      </c>
      <c r="F1364" s="1">
        <f t="shared" si="62"/>
        <v>55.25</v>
      </c>
      <c r="G1364" s="1">
        <v>37</v>
      </c>
      <c r="H1364" s="1">
        <f t="shared" si="63"/>
        <v>37.5</v>
      </c>
      <c r="I1364" s="1">
        <v>65</v>
      </c>
      <c r="J1364" s="1">
        <f t="shared" si="64"/>
        <v>55.5</v>
      </c>
      <c r="K1364" s="1">
        <v>6</v>
      </c>
      <c r="L1364" s="1">
        <v>12</v>
      </c>
      <c r="M1364" s="1">
        <v>18</v>
      </c>
      <c r="P1364" s="2" t="s">
        <v>551</v>
      </c>
      <c r="Q1364" s="2" t="s">
        <v>551</v>
      </c>
      <c r="R1364" s="2" t="s">
        <v>551</v>
      </c>
      <c r="S1364" s="1">
        <v>4</v>
      </c>
    </row>
    <row r="1365" spans="1:19" x14ac:dyDescent="0.25">
      <c r="A1365" s="12">
        <v>44231</v>
      </c>
      <c r="B1365" s="14" t="s">
        <v>1377</v>
      </c>
      <c r="C1365" s="1">
        <v>15</v>
      </c>
      <c r="D1365" s="1">
        <v>27</v>
      </c>
      <c r="E1365" s="1">
        <v>42</v>
      </c>
      <c r="F1365" s="1">
        <f t="shared" si="62"/>
        <v>50.75</v>
      </c>
      <c r="G1365" s="1">
        <v>45</v>
      </c>
      <c r="H1365" s="1">
        <f t="shared" si="63"/>
        <v>36.5</v>
      </c>
      <c r="I1365" s="1">
        <v>58</v>
      </c>
      <c r="J1365" s="1">
        <f t="shared" si="64"/>
        <v>58.25</v>
      </c>
      <c r="K1365" s="1">
        <v>5</v>
      </c>
      <c r="L1365" s="1">
        <v>16</v>
      </c>
      <c r="M1365" s="1">
        <v>21</v>
      </c>
      <c r="P1365" s="2" t="s">
        <v>551</v>
      </c>
      <c r="Q1365" s="2" t="s">
        <v>551</v>
      </c>
      <c r="R1365" s="2" t="s">
        <v>551</v>
      </c>
      <c r="S1365" s="1">
        <v>5</v>
      </c>
    </row>
    <row r="1366" spans="1:19" x14ac:dyDescent="0.25">
      <c r="A1366" s="12">
        <v>44238</v>
      </c>
      <c r="B1366" s="14" t="s">
        <v>1378</v>
      </c>
      <c r="C1366" s="1">
        <v>15</v>
      </c>
      <c r="D1366" s="1">
        <v>29</v>
      </c>
      <c r="E1366" s="1">
        <v>44</v>
      </c>
      <c r="F1366" s="1">
        <f t="shared" si="62"/>
        <v>46</v>
      </c>
      <c r="G1366" s="1">
        <v>48</v>
      </c>
      <c r="H1366" s="1">
        <f t="shared" si="63"/>
        <v>37</v>
      </c>
      <c r="I1366" s="1">
        <v>62</v>
      </c>
      <c r="J1366" s="1">
        <f t="shared" si="64"/>
        <v>57.5</v>
      </c>
      <c r="K1366" s="1">
        <v>6</v>
      </c>
      <c r="L1366" s="1">
        <v>16</v>
      </c>
      <c r="M1366" s="1">
        <v>22</v>
      </c>
      <c r="P1366" s="2" t="s">
        <v>551</v>
      </c>
      <c r="Q1366" s="2" t="s">
        <v>551</v>
      </c>
      <c r="R1366" s="2" t="s">
        <v>551</v>
      </c>
      <c r="S1366" s="1">
        <v>6</v>
      </c>
    </row>
    <row r="1367" spans="1:19" x14ac:dyDescent="0.25">
      <c r="A1367" s="12">
        <v>44245</v>
      </c>
      <c r="B1367" s="14" t="s">
        <v>1379</v>
      </c>
      <c r="C1367" s="1">
        <v>15</v>
      </c>
      <c r="D1367" s="1">
        <v>29</v>
      </c>
      <c r="E1367" s="1">
        <v>44</v>
      </c>
      <c r="F1367" s="1">
        <f t="shared" si="62"/>
        <v>49.5</v>
      </c>
      <c r="G1367" s="1">
        <v>34</v>
      </c>
      <c r="H1367" s="1">
        <f t="shared" si="63"/>
        <v>37.5</v>
      </c>
      <c r="I1367" s="1">
        <v>57</v>
      </c>
      <c r="J1367" s="1">
        <f t="shared" si="64"/>
        <v>59.25</v>
      </c>
      <c r="K1367" s="1">
        <v>6</v>
      </c>
      <c r="L1367" s="1">
        <v>20</v>
      </c>
      <c r="M1367" s="1">
        <v>26</v>
      </c>
      <c r="P1367" s="2" t="s">
        <v>551</v>
      </c>
      <c r="Q1367" s="2" t="s">
        <v>551</v>
      </c>
      <c r="R1367" s="2" t="s">
        <v>551</v>
      </c>
      <c r="S1367" s="1">
        <v>7</v>
      </c>
    </row>
    <row r="1368" spans="1:19" x14ac:dyDescent="0.25">
      <c r="A1368" s="12">
        <v>44252</v>
      </c>
      <c r="B1368" s="14" t="s">
        <v>1380</v>
      </c>
      <c r="C1368" s="1">
        <v>15</v>
      </c>
      <c r="D1368" s="1">
        <v>26</v>
      </c>
      <c r="E1368" s="1">
        <v>41</v>
      </c>
      <c r="F1368" s="1">
        <f t="shared" si="62"/>
        <v>42.25</v>
      </c>
      <c r="G1368" s="1">
        <v>41</v>
      </c>
      <c r="H1368" s="1">
        <f t="shared" si="63"/>
        <v>38</v>
      </c>
      <c r="I1368" s="1">
        <v>66</v>
      </c>
      <c r="J1368" s="1">
        <f t="shared" si="64"/>
        <v>55.75</v>
      </c>
      <c r="K1368" s="1">
        <v>5</v>
      </c>
      <c r="L1368" s="1">
        <v>22</v>
      </c>
      <c r="M1368" s="1">
        <v>27</v>
      </c>
      <c r="P1368" s="2" t="s">
        <v>551</v>
      </c>
      <c r="Q1368" s="2" t="s">
        <v>551</v>
      </c>
      <c r="R1368" s="2" t="s">
        <v>551</v>
      </c>
      <c r="S1368" s="1">
        <v>8</v>
      </c>
    </row>
    <row r="1369" spans="1:19" x14ac:dyDescent="0.25">
      <c r="A1369" s="12">
        <v>44259</v>
      </c>
      <c r="B1369" s="14" t="s">
        <v>1381</v>
      </c>
      <c r="C1369" s="1">
        <v>15</v>
      </c>
      <c r="D1369" s="1">
        <v>36</v>
      </c>
      <c r="E1369" s="1">
        <v>51</v>
      </c>
      <c r="F1369" s="1">
        <f t="shared" si="62"/>
        <v>48.75</v>
      </c>
      <c r="G1369" s="1">
        <v>36</v>
      </c>
      <c r="H1369" s="1">
        <f t="shared" si="63"/>
        <v>35.75</v>
      </c>
      <c r="I1369" s="1">
        <v>53</v>
      </c>
      <c r="J1369" s="1">
        <f t="shared" si="64"/>
        <v>58.25</v>
      </c>
      <c r="K1369" s="1">
        <v>5</v>
      </c>
      <c r="L1369" s="1">
        <v>19</v>
      </c>
      <c r="M1369" s="1">
        <v>24</v>
      </c>
      <c r="P1369" s="2" t="s">
        <v>551</v>
      </c>
      <c r="Q1369" s="2" t="s">
        <v>551</v>
      </c>
      <c r="R1369" s="2" t="s">
        <v>551</v>
      </c>
      <c r="S1369" s="1">
        <v>9</v>
      </c>
    </row>
    <row r="1370" spans="1:19" x14ac:dyDescent="0.25">
      <c r="A1370" s="12">
        <v>44266</v>
      </c>
      <c r="B1370" s="14" t="s">
        <v>1382</v>
      </c>
      <c r="C1370" s="1">
        <v>14</v>
      </c>
      <c r="D1370" s="1">
        <v>24</v>
      </c>
      <c r="E1370" s="1">
        <v>38</v>
      </c>
      <c r="F1370" s="1">
        <f t="shared" si="62"/>
        <v>48</v>
      </c>
      <c r="G1370" s="1">
        <v>45</v>
      </c>
      <c r="H1370" s="1">
        <f t="shared" si="63"/>
        <v>37.5</v>
      </c>
      <c r="I1370" s="1">
        <v>55</v>
      </c>
      <c r="J1370" s="1">
        <f t="shared" si="64"/>
        <v>60</v>
      </c>
      <c r="K1370" s="1">
        <v>6</v>
      </c>
      <c r="L1370" s="1">
        <v>10</v>
      </c>
      <c r="M1370" s="1">
        <v>16</v>
      </c>
      <c r="P1370" s="2" t="s">
        <v>551</v>
      </c>
      <c r="Q1370" s="2" t="s">
        <v>551</v>
      </c>
      <c r="R1370" s="2" t="s">
        <v>551</v>
      </c>
      <c r="S1370" s="1">
        <v>10</v>
      </c>
    </row>
    <row r="1371" spans="1:19" x14ac:dyDescent="0.25">
      <c r="A1371" s="12">
        <v>44273</v>
      </c>
      <c r="B1371" s="14" t="s">
        <v>1383</v>
      </c>
      <c r="C1371" s="1">
        <v>15</v>
      </c>
      <c r="D1371" s="1">
        <v>20</v>
      </c>
      <c r="E1371" s="1">
        <v>35</v>
      </c>
      <c r="F1371" s="1">
        <f t="shared" si="62"/>
        <v>46.75</v>
      </c>
      <c r="G1371" s="1">
        <v>37</v>
      </c>
      <c r="H1371" s="1">
        <f t="shared" si="63"/>
        <v>34.25</v>
      </c>
      <c r="I1371" s="1">
        <v>56</v>
      </c>
      <c r="J1371" s="1">
        <f t="shared" si="64"/>
        <v>50.25</v>
      </c>
      <c r="K1371" s="1">
        <v>6</v>
      </c>
      <c r="L1371" s="1">
        <v>9</v>
      </c>
      <c r="M1371" s="1">
        <v>15</v>
      </c>
      <c r="P1371" s="2" t="s">
        <v>551</v>
      </c>
      <c r="Q1371" s="2" t="s">
        <v>551</v>
      </c>
      <c r="R1371" s="2" t="s">
        <v>551</v>
      </c>
      <c r="S1371" s="1">
        <v>11</v>
      </c>
    </row>
    <row r="1372" spans="1:19" x14ac:dyDescent="0.25">
      <c r="A1372" s="12">
        <v>44280</v>
      </c>
      <c r="B1372" s="14" t="s">
        <v>1384</v>
      </c>
      <c r="C1372" s="1">
        <v>12</v>
      </c>
      <c r="D1372" s="1">
        <v>26</v>
      </c>
      <c r="E1372" s="1">
        <v>38</v>
      </c>
      <c r="F1372" s="1">
        <f t="shared" ref="F1372:F1403" si="65">AVERAGE(E1320,E1268,E1216,E1164)</f>
        <v>42.25</v>
      </c>
      <c r="G1372" s="1">
        <v>33</v>
      </c>
      <c r="H1372" s="1">
        <f t="shared" ref="H1372:H1403" si="66">AVERAGE(G1320,G1268,G1216,G1164)</f>
        <v>38.5</v>
      </c>
      <c r="I1372" s="1">
        <v>48</v>
      </c>
      <c r="J1372" s="1">
        <f t="shared" ref="J1372:J1403" si="67">AVERAGE(I1320,I1268,I1216,I1164)</f>
        <v>48</v>
      </c>
      <c r="K1372" s="1">
        <v>5</v>
      </c>
      <c r="L1372" s="1">
        <v>12</v>
      </c>
      <c r="M1372" s="1">
        <v>17</v>
      </c>
      <c r="P1372" s="2" t="s">
        <v>551</v>
      </c>
      <c r="Q1372" s="2" t="s">
        <v>551</v>
      </c>
      <c r="R1372" s="2" t="s">
        <v>551</v>
      </c>
      <c r="S1372" s="1">
        <v>12</v>
      </c>
    </row>
    <row r="1373" spans="1:19" x14ac:dyDescent="0.25">
      <c r="A1373" s="12">
        <v>44287</v>
      </c>
      <c r="B1373" s="14" t="s">
        <v>1385</v>
      </c>
      <c r="C1373" s="1">
        <v>14</v>
      </c>
      <c r="D1373" s="1">
        <v>24</v>
      </c>
      <c r="E1373" s="1">
        <v>38</v>
      </c>
      <c r="F1373" s="1">
        <f t="shared" si="65"/>
        <v>43</v>
      </c>
      <c r="G1373" s="1">
        <v>38</v>
      </c>
      <c r="H1373" s="1">
        <f t="shared" si="66"/>
        <v>33.25</v>
      </c>
      <c r="I1373" s="1">
        <v>45</v>
      </c>
      <c r="J1373" s="1">
        <f t="shared" si="67"/>
        <v>50.5</v>
      </c>
      <c r="K1373" s="1">
        <v>3</v>
      </c>
      <c r="L1373" s="1">
        <v>11</v>
      </c>
      <c r="M1373" s="1">
        <v>14</v>
      </c>
      <c r="P1373" s="2" t="s">
        <v>551</v>
      </c>
      <c r="Q1373" s="2" t="s">
        <v>551</v>
      </c>
      <c r="R1373" s="2" t="s">
        <v>551</v>
      </c>
      <c r="S1373" s="1">
        <v>13</v>
      </c>
    </row>
    <row r="1374" spans="1:19" x14ac:dyDescent="0.25">
      <c r="A1374" s="12">
        <v>44294</v>
      </c>
      <c r="B1374" s="14" t="s">
        <v>1386</v>
      </c>
      <c r="C1374" s="1">
        <v>14</v>
      </c>
      <c r="D1374" s="1">
        <v>26</v>
      </c>
      <c r="E1374" s="1">
        <v>40</v>
      </c>
      <c r="F1374" s="1">
        <f t="shared" si="65"/>
        <v>37</v>
      </c>
      <c r="G1374" s="1">
        <v>36</v>
      </c>
      <c r="H1374" s="1">
        <f t="shared" si="66"/>
        <v>37.5</v>
      </c>
      <c r="I1374" s="1">
        <v>45</v>
      </c>
      <c r="J1374" s="1">
        <f t="shared" si="67"/>
        <v>55.25</v>
      </c>
      <c r="K1374" s="1">
        <v>5</v>
      </c>
      <c r="L1374" s="1">
        <v>15</v>
      </c>
      <c r="M1374" s="1">
        <v>20</v>
      </c>
      <c r="P1374" s="2" t="s">
        <v>551</v>
      </c>
      <c r="Q1374" s="2" t="s">
        <v>551</v>
      </c>
      <c r="R1374" s="2" t="s">
        <v>551</v>
      </c>
      <c r="S1374" s="1">
        <v>14</v>
      </c>
    </row>
    <row r="1375" spans="1:19" x14ac:dyDescent="0.25">
      <c r="A1375" s="12">
        <v>44301</v>
      </c>
      <c r="B1375" s="14" t="s">
        <v>1387</v>
      </c>
      <c r="C1375" s="1">
        <v>14</v>
      </c>
      <c r="D1375" s="1">
        <v>15</v>
      </c>
      <c r="E1375" s="1">
        <v>29</v>
      </c>
      <c r="F1375" s="1">
        <f t="shared" si="65"/>
        <v>40</v>
      </c>
      <c r="G1375" s="1">
        <v>33</v>
      </c>
      <c r="H1375" s="1">
        <f t="shared" si="66"/>
        <v>33.25</v>
      </c>
      <c r="I1375" s="1">
        <v>49</v>
      </c>
      <c r="J1375" s="1">
        <f t="shared" si="67"/>
        <v>45.25</v>
      </c>
      <c r="K1375" s="1">
        <v>4</v>
      </c>
      <c r="L1375" s="1">
        <v>20</v>
      </c>
      <c r="M1375" s="1">
        <v>24</v>
      </c>
      <c r="P1375" s="2" t="s">
        <v>551</v>
      </c>
      <c r="Q1375" s="2" t="s">
        <v>551</v>
      </c>
      <c r="R1375" s="2" t="s">
        <v>551</v>
      </c>
      <c r="S1375" s="1">
        <v>15</v>
      </c>
    </row>
    <row r="1376" spans="1:19" x14ac:dyDescent="0.25">
      <c r="A1376" s="12">
        <v>44308</v>
      </c>
      <c r="B1376" s="14" t="s">
        <v>1388</v>
      </c>
      <c r="C1376" s="1">
        <v>15</v>
      </c>
      <c r="D1376" s="1">
        <v>20</v>
      </c>
      <c r="E1376" s="1">
        <v>35</v>
      </c>
      <c r="F1376" s="1">
        <f t="shared" si="65"/>
        <v>35</v>
      </c>
      <c r="G1376" s="1">
        <v>32</v>
      </c>
      <c r="H1376" s="1">
        <f t="shared" si="66"/>
        <v>34.5</v>
      </c>
      <c r="I1376" s="1">
        <v>41</v>
      </c>
      <c r="J1376" s="1">
        <f t="shared" si="67"/>
        <v>45.25</v>
      </c>
      <c r="K1376" s="1">
        <v>5</v>
      </c>
      <c r="L1376" s="1">
        <v>17</v>
      </c>
      <c r="M1376" s="1">
        <v>22</v>
      </c>
      <c r="P1376" s="2" t="s">
        <v>551</v>
      </c>
      <c r="Q1376" s="2" t="s">
        <v>551</v>
      </c>
      <c r="R1376" s="2" t="s">
        <v>551</v>
      </c>
      <c r="S1376" s="1">
        <v>16</v>
      </c>
    </row>
    <row r="1377" spans="1:19" x14ac:dyDescent="0.25">
      <c r="A1377" s="12">
        <v>44315</v>
      </c>
      <c r="B1377" s="14" t="s">
        <v>1389</v>
      </c>
      <c r="C1377" s="1">
        <v>11</v>
      </c>
      <c r="D1377" s="1">
        <v>11</v>
      </c>
      <c r="E1377" s="1">
        <v>22</v>
      </c>
      <c r="F1377" s="1">
        <f t="shared" si="65"/>
        <v>32.25</v>
      </c>
      <c r="G1377" s="1">
        <v>35</v>
      </c>
      <c r="H1377" s="1">
        <f t="shared" si="66"/>
        <v>32.25</v>
      </c>
      <c r="I1377" s="1">
        <v>52</v>
      </c>
      <c r="J1377" s="1">
        <f t="shared" si="67"/>
        <v>49</v>
      </c>
      <c r="K1377" s="1">
        <v>6</v>
      </c>
      <c r="L1377" s="1">
        <v>10</v>
      </c>
      <c r="M1377" s="1">
        <v>16</v>
      </c>
      <c r="P1377" s="2" t="s">
        <v>551</v>
      </c>
      <c r="Q1377" s="2" t="s">
        <v>551</v>
      </c>
      <c r="R1377" s="2" t="s">
        <v>551</v>
      </c>
      <c r="S1377" s="1">
        <v>17</v>
      </c>
    </row>
    <row r="1378" spans="1:19" x14ac:dyDescent="0.25">
      <c r="A1378" s="12">
        <v>44322</v>
      </c>
      <c r="B1378" s="14" t="s">
        <v>1390</v>
      </c>
      <c r="C1378" s="1">
        <v>15</v>
      </c>
      <c r="D1378" s="1">
        <v>9</v>
      </c>
      <c r="E1378" s="1">
        <v>24</v>
      </c>
      <c r="F1378" s="1">
        <f t="shared" si="65"/>
        <v>29.5</v>
      </c>
      <c r="G1378" s="1">
        <v>30</v>
      </c>
      <c r="H1378" s="1">
        <f t="shared" si="66"/>
        <v>31.75</v>
      </c>
      <c r="I1378" s="1">
        <v>51</v>
      </c>
      <c r="J1378" s="1">
        <f t="shared" si="67"/>
        <v>49.25</v>
      </c>
      <c r="K1378" s="1">
        <v>6</v>
      </c>
      <c r="L1378" s="1">
        <v>12</v>
      </c>
      <c r="M1378" s="1">
        <v>18</v>
      </c>
      <c r="P1378" s="2" t="s">
        <v>551</v>
      </c>
      <c r="Q1378" s="2" t="s">
        <v>551</v>
      </c>
      <c r="R1378" s="2" t="s">
        <v>551</v>
      </c>
      <c r="S1378" s="1">
        <v>18</v>
      </c>
    </row>
    <row r="1379" spans="1:19" x14ac:dyDescent="0.25">
      <c r="A1379" s="12">
        <v>44329</v>
      </c>
      <c r="B1379" s="14" t="s">
        <v>1391</v>
      </c>
      <c r="C1379" s="1">
        <v>13</v>
      </c>
      <c r="D1379" s="1">
        <v>8</v>
      </c>
      <c r="E1379" s="1">
        <v>21</v>
      </c>
      <c r="F1379" s="1">
        <f t="shared" si="65"/>
        <v>32</v>
      </c>
      <c r="G1379" s="1">
        <v>34</v>
      </c>
      <c r="H1379" s="1">
        <f t="shared" si="66"/>
        <v>30.75</v>
      </c>
      <c r="I1379" s="1">
        <v>55</v>
      </c>
      <c r="J1379" s="1">
        <f t="shared" si="67"/>
        <v>48.75</v>
      </c>
      <c r="K1379" s="1">
        <v>5</v>
      </c>
      <c r="L1379" s="1">
        <v>9</v>
      </c>
      <c r="M1379" s="1">
        <v>14</v>
      </c>
      <c r="P1379" s="2" t="s">
        <v>551</v>
      </c>
      <c r="Q1379" s="2" t="s">
        <v>551</v>
      </c>
      <c r="R1379" s="2" t="s">
        <v>551</v>
      </c>
      <c r="S1379" s="1">
        <v>19</v>
      </c>
    </row>
    <row r="1380" spans="1:19" x14ac:dyDescent="0.25">
      <c r="A1380" s="12">
        <v>44336</v>
      </c>
      <c r="B1380" s="14" t="s">
        <v>1392</v>
      </c>
      <c r="C1380" s="1">
        <v>13</v>
      </c>
      <c r="D1380" s="1">
        <v>17</v>
      </c>
      <c r="E1380" s="1">
        <v>30</v>
      </c>
      <c r="F1380" s="1">
        <f t="shared" si="65"/>
        <v>38</v>
      </c>
      <c r="G1380" s="1">
        <v>29</v>
      </c>
      <c r="H1380" s="1">
        <f t="shared" si="66"/>
        <v>33</v>
      </c>
      <c r="I1380" s="1">
        <v>42</v>
      </c>
      <c r="J1380" s="1">
        <f t="shared" si="67"/>
        <v>43.75</v>
      </c>
      <c r="K1380" s="1">
        <v>5</v>
      </c>
      <c r="L1380" s="1">
        <v>8</v>
      </c>
      <c r="M1380" s="1">
        <v>13</v>
      </c>
      <c r="P1380" s="2" t="s">
        <v>551</v>
      </c>
      <c r="Q1380" s="2" t="s">
        <v>551</v>
      </c>
      <c r="R1380" s="2" t="s">
        <v>551</v>
      </c>
      <c r="S1380" s="1">
        <v>20</v>
      </c>
    </row>
    <row r="1381" spans="1:19" x14ac:dyDescent="0.25">
      <c r="A1381" s="12">
        <v>44343</v>
      </c>
      <c r="B1381" s="14" t="s">
        <v>1393</v>
      </c>
      <c r="C1381" s="1">
        <v>13</v>
      </c>
      <c r="D1381" s="1">
        <v>10</v>
      </c>
      <c r="E1381" s="1">
        <v>23</v>
      </c>
      <c r="F1381" s="1">
        <f t="shared" si="65"/>
        <v>34.5</v>
      </c>
      <c r="G1381" s="1">
        <v>33</v>
      </c>
      <c r="H1381" s="1">
        <f t="shared" si="66"/>
        <v>30.75</v>
      </c>
      <c r="I1381" s="1">
        <v>38</v>
      </c>
      <c r="J1381" s="1">
        <f t="shared" si="67"/>
        <v>49.75</v>
      </c>
      <c r="K1381" s="1">
        <v>4</v>
      </c>
      <c r="L1381" s="1">
        <v>10</v>
      </c>
      <c r="M1381" s="1">
        <v>14</v>
      </c>
      <c r="P1381" s="2" t="s">
        <v>551</v>
      </c>
      <c r="Q1381" s="2" t="s">
        <v>551</v>
      </c>
      <c r="R1381" s="2" t="s">
        <v>551</v>
      </c>
      <c r="S1381" s="1">
        <v>21</v>
      </c>
    </row>
    <row r="1382" spans="1:19" x14ac:dyDescent="0.25">
      <c r="A1382" s="12">
        <v>44350</v>
      </c>
      <c r="B1382" s="14" t="s">
        <v>1394</v>
      </c>
      <c r="C1382" s="1">
        <v>11</v>
      </c>
      <c r="D1382" s="1">
        <v>7</v>
      </c>
      <c r="E1382" s="1">
        <v>18</v>
      </c>
      <c r="F1382" s="1">
        <f t="shared" si="65"/>
        <v>40</v>
      </c>
      <c r="G1382" s="1">
        <v>36</v>
      </c>
      <c r="H1382" s="1">
        <f t="shared" si="66"/>
        <v>31</v>
      </c>
      <c r="I1382" s="1">
        <v>49</v>
      </c>
      <c r="J1382" s="1">
        <f t="shared" si="67"/>
        <v>47.5</v>
      </c>
      <c r="K1382" s="1">
        <v>4</v>
      </c>
      <c r="L1382" s="1">
        <v>9</v>
      </c>
      <c r="M1382" s="1">
        <v>13</v>
      </c>
      <c r="P1382" s="2" t="s">
        <v>551</v>
      </c>
      <c r="Q1382" s="2" t="s">
        <v>551</v>
      </c>
      <c r="R1382" s="2" t="s">
        <v>551</v>
      </c>
      <c r="S1382" s="1">
        <v>22</v>
      </c>
    </row>
    <row r="1383" spans="1:19" x14ac:dyDescent="0.25">
      <c r="A1383" s="12">
        <v>44357</v>
      </c>
      <c r="B1383" s="14" t="s">
        <v>1395</v>
      </c>
      <c r="C1383" s="1">
        <v>12</v>
      </c>
      <c r="D1383" s="1">
        <v>16</v>
      </c>
      <c r="E1383" s="1">
        <v>28</v>
      </c>
      <c r="F1383" s="1">
        <f t="shared" si="65"/>
        <v>35</v>
      </c>
      <c r="G1383" s="1">
        <v>34</v>
      </c>
      <c r="H1383" s="1">
        <f t="shared" si="66"/>
        <v>29.25</v>
      </c>
      <c r="I1383" s="1">
        <v>45</v>
      </c>
      <c r="J1383" s="1">
        <f t="shared" si="67"/>
        <v>47.5</v>
      </c>
      <c r="K1383" s="1">
        <v>4</v>
      </c>
      <c r="L1383" s="1">
        <v>8</v>
      </c>
      <c r="M1383" s="1">
        <v>12</v>
      </c>
      <c r="P1383" s="2" t="s">
        <v>551</v>
      </c>
      <c r="Q1383" s="2" t="s">
        <v>551</v>
      </c>
      <c r="R1383" s="2" t="s">
        <v>551</v>
      </c>
      <c r="S1383" s="1">
        <v>23</v>
      </c>
    </row>
    <row r="1384" spans="1:19" x14ac:dyDescent="0.25">
      <c r="A1384" s="12">
        <v>44364</v>
      </c>
      <c r="B1384" s="14" t="s">
        <v>1396</v>
      </c>
      <c r="C1384" s="1">
        <v>10</v>
      </c>
      <c r="D1384" s="1">
        <v>5</v>
      </c>
      <c r="E1384" s="1">
        <v>15</v>
      </c>
      <c r="F1384" s="1">
        <f t="shared" si="65"/>
        <v>37.75</v>
      </c>
      <c r="G1384" s="1">
        <v>39</v>
      </c>
      <c r="H1384" s="1">
        <f t="shared" si="66"/>
        <v>28.25</v>
      </c>
      <c r="I1384" s="1">
        <v>31</v>
      </c>
      <c r="J1384" s="1">
        <f t="shared" si="67"/>
        <v>42</v>
      </c>
      <c r="K1384" s="1">
        <v>3</v>
      </c>
      <c r="L1384" s="1">
        <v>7</v>
      </c>
      <c r="M1384" s="1">
        <v>10</v>
      </c>
      <c r="P1384" s="2" t="s">
        <v>551</v>
      </c>
      <c r="Q1384" s="2" t="s">
        <v>551</v>
      </c>
      <c r="R1384" s="2" t="s">
        <v>551</v>
      </c>
      <c r="S1384" s="1">
        <v>24</v>
      </c>
    </row>
    <row r="1385" spans="1:19" x14ac:dyDescent="0.25">
      <c r="A1385" s="12">
        <v>44371</v>
      </c>
      <c r="B1385" s="14" t="s">
        <v>1397</v>
      </c>
      <c r="C1385" s="1">
        <v>8</v>
      </c>
      <c r="D1385" s="1">
        <v>10</v>
      </c>
      <c r="E1385" s="1">
        <v>18</v>
      </c>
      <c r="F1385" s="1">
        <f t="shared" si="65"/>
        <v>38.25</v>
      </c>
      <c r="G1385" s="1">
        <v>21</v>
      </c>
      <c r="H1385" s="1">
        <f t="shared" si="66"/>
        <v>29</v>
      </c>
      <c r="I1385" s="1">
        <v>37</v>
      </c>
      <c r="J1385" s="1">
        <f t="shared" si="67"/>
        <v>44.25</v>
      </c>
      <c r="K1385" s="1">
        <v>1</v>
      </c>
      <c r="L1385" s="1">
        <v>4</v>
      </c>
      <c r="M1385" s="1">
        <v>5</v>
      </c>
      <c r="P1385" s="2" t="s">
        <v>551</v>
      </c>
      <c r="Q1385" s="2" t="s">
        <v>551</v>
      </c>
      <c r="R1385" s="2" t="s">
        <v>551</v>
      </c>
      <c r="S1385" s="1">
        <v>25</v>
      </c>
    </row>
    <row r="1386" spans="1:19" x14ac:dyDescent="0.25">
      <c r="A1386" s="12">
        <v>44378</v>
      </c>
      <c r="B1386" s="14" t="s">
        <v>1398</v>
      </c>
      <c r="C1386" s="1">
        <v>6</v>
      </c>
      <c r="D1386" s="1">
        <v>5</v>
      </c>
      <c r="E1386" s="1">
        <v>11</v>
      </c>
      <c r="F1386" s="1">
        <f t="shared" si="65"/>
        <v>39.5</v>
      </c>
      <c r="G1386" s="1">
        <v>26</v>
      </c>
      <c r="H1386" s="1">
        <f t="shared" si="66"/>
        <v>29.75</v>
      </c>
      <c r="I1386" s="1">
        <v>50</v>
      </c>
      <c r="J1386" s="1">
        <f t="shared" si="67"/>
        <v>43.25</v>
      </c>
      <c r="K1386" s="1">
        <v>3</v>
      </c>
      <c r="L1386" s="1">
        <v>4</v>
      </c>
      <c r="M1386" s="1">
        <v>7</v>
      </c>
      <c r="P1386" s="2" t="s">
        <v>551</v>
      </c>
      <c r="Q1386" s="2" t="s">
        <v>551</v>
      </c>
      <c r="R1386" s="2" t="s">
        <v>551</v>
      </c>
      <c r="S1386" s="1">
        <v>26</v>
      </c>
    </row>
    <row r="1387" spans="1:19" x14ac:dyDescent="0.25">
      <c r="A1387" s="12">
        <v>44385</v>
      </c>
      <c r="B1387" s="14" t="s">
        <v>1399</v>
      </c>
      <c r="C1387" s="1">
        <v>10</v>
      </c>
      <c r="D1387" s="1">
        <v>10</v>
      </c>
      <c r="E1387" s="1">
        <v>20</v>
      </c>
      <c r="F1387" s="1">
        <f t="shared" si="65"/>
        <v>34.5</v>
      </c>
      <c r="G1387" s="1">
        <v>23</v>
      </c>
      <c r="H1387" s="1">
        <f t="shared" si="66"/>
        <v>29.25</v>
      </c>
      <c r="I1387" s="1">
        <v>38</v>
      </c>
      <c r="J1387" s="1">
        <f t="shared" si="67"/>
        <v>46.5</v>
      </c>
      <c r="K1387" s="1">
        <v>1</v>
      </c>
      <c r="L1387" s="1">
        <v>4</v>
      </c>
      <c r="M1387" s="1">
        <v>5</v>
      </c>
      <c r="P1387" s="2" t="s">
        <v>551</v>
      </c>
      <c r="Q1387" s="2" t="s">
        <v>551</v>
      </c>
      <c r="R1387" s="2" t="s">
        <v>551</v>
      </c>
      <c r="S1387" s="1">
        <v>27</v>
      </c>
    </row>
    <row r="1388" spans="1:19" x14ac:dyDescent="0.25">
      <c r="A1388" s="12">
        <v>44392</v>
      </c>
      <c r="B1388" s="14" t="s">
        <v>1400</v>
      </c>
      <c r="C1388" s="1">
        <v>10</v>
      </c>
      <c r="D1388" s="1">
        <v>17</v>
      </c>
      <c r="E1388" s="1">
        <v>27</v>
      </c>
      <c r="F1388" s="1">
        <f t="shared" si="65"/>
        <v>34.75</v>
      </c>
      <c r="G1388" s="1">
        <v>24</v>
      </c>
      <c r="H1388" s="1">
        <f t="shared" si="66"/>
        <v>28.5</v>
      </c>
      <c r="I1388" s="1">
        <v>47</v>
      </c>
      <c r="J1388" s="1">
        <f t="shared" si="67"/>
        <v>48</v>
      </c>
      <c r="K1388" s="1">
        <v>3</v>
      </c>
      <c r="L1388" s="1">
        <v>6</v>
      </c>
      <c r="M1388" s="1">
        <v>9</v>
      </c>
      <c r="P1388" s="2" t="s">
        <v>551</v>
      </c>
      <c r="Q1388" s="2" t="s">
        <v>551</v>
      </c>
      <c r="R1388" s="2" t="s">
        <v>551</v>
      </c>
      <c r="S1388" s="1">
        <v>28</v>
      </c>
    </row>
    <row r="1389" spans="1:19" x14ac:dyDescent="0.25">
      <c r="A1389" s="12">
        <v>44399</v>
      </c>
      <c r="B1389" s="14" t="s">
        <v>1401</v>
      </c>
      <c r="C1389" s="1">
        <v>12</v>
      </c>
      <c r="D1389" s="1">
        <v>17</v>
      </c>
      <c r="E1389" s="1">
        <v>29</v>
      </c>
      <c r="F1389" s="1">
        <f t="shared" si="65"/>
        <v>31.75</v>
      </c>
      <c r="G1389" s="1">
        <v>26</v>
      </c>
      <c r="H1389" s="1">
        <f t="shared" si="66"/>
        <v>33.75</v>
      </c>
      <c r="I1389" s="1">
        <v>49</v>
      </c>
      <c r="J1389" s="1">
        <f t="shared" si="67"/>
        <v>45.25</v>
      </c>
      <c r="K1389" s="1">
        <v>1</v>
      </c>
      <c r="L1389" s="1">
        <v>11</v>
      </c>
      <c r="M1389" s="1">
        <v>12</v>
      </c>
      <c r="P1389" s="2" t="s">
        <v>551</v>
      </c>
      <c r="Q1389" s="2" t="s">
        <v>551</v>
      </c>
      <c r="R1389" s="2" t="s">
        <v>551</v>
      </c>
      <c r="S1389" s="1">
        <v>29</v>
      </c>
    </row>
    <row r="1390" spans="1:19" x14ac:dyDescent="0.25">
      <c r="A1390" s="12">
        <v>44406</v>
      </c>
      <c r="B1390" s="14" t="s">
        <v>1402</v>
      </c>
      <c r="C1390" s="1">
        <v>6</v>
      </c>
      <c r="D1390" s="1">
        <v>10</v>
      </c>
      <c r="E1390" s="1">
        <v>16</v>
      </c>
      <c r="F1390" s="1">
        <f t="shared" si="65"/>
        <v>37.75</v>
      </c>
      <c r="G1390" s="1">
        <v>36</v>
      </c>
      <c r="H1390" s="1">
        <f t="shared" si="66"/>
        <v>31.25</v>
      </c>
      <c r="I1390" s="1">
        <v>52</v>
      </c>
      <c r="J1390" s="1">
        <f t="shared" si="67"/>
        <v>44.5</v>
      </c>
      <c r="K1390" s="1">
        <v>5</v>
      </c>
      <c r="L1390" s="1">
        <v>7</v>
      </c>
      <c r="M1390" s="1">
        <v>12</v>
      </c>
      <c r="P1390" s="2" t="s">
        <v>551</v>
      </c>
      <c r="Q1390" s="2" t="s">
        <v>551</v>
      </c>
      <c r="R1390" s="2" t="s">
        <v>551</v>
      </c>
      <c r="S1390" s="1">
        <v>30</v>
      </c>
    </row>
    <row r="1391" spans="1:19" x14ac:dyDescent="0.25">
      <c r="A1391" s="12">
        <v>44413</v>
      </c>
      <c r="B1391" s="14" t="s">
        <v>1403</v>
      </c>
      <c r="C1391" s="1">
        <v>9</v>
      </c>
      <c r="D1391" s="1">
        <v>15</v>
      </c>
      <c r="E1391" s="1">
        <v>24</v>
      </c>
      <c r="F1391" s="1">
        <f t="shared" si="65"/>
        <v>33.75</v>
      </c>
      <c r="G1391" s="1">
        <v>26</v>
      </c>
      <c r="H1391" s="1">
        <f t="shared" si="66"/>
        <v>31.75</v>
      </c>
      <c r="I1391" s="1">
        <v>43</v>
      </c>
      <c r="J1391" s="1">
        <f t="shared" si="67"/>
        <v>48.75</v>
      </c>
      <c r="K1391" s="1">
        <v>5</v>
      </c>
      <c r="L1391" s="1">
        <v>11</v>
      </c>
      <c r="M1391" s="1">
        <v>16</v>
      </c>
      <c r="P1391" s="2" t="s">
        <v>551</v>
      </c>
      <c r="Q1391" s="2" t="s">
        <v>551</v>
      </c>
      <c r="R1391" s="2" t="s">
        <v>551</v>
      </c>
      <c r="S1391" s="1">
        <v>31</v>
      </c>
    </row>
    <row r="1392" spans="1:19" x14ac:dyDescent="0.25">
      <c r="A1392" s="12">
        <v>44420</v>
      </c>
      <c r="B1392" s="14" t="s">
        <v>1404</v>
      </c>
      <c r="C1392" s="1">
        <v>10</v>
      </c>
      <c r="D1392" s="1">
        <v>21</v>
      </c>
      <c r="E1392" s="1">
        <v>31</v>
      </c>
      <c r="F1392" s="1">
        <f t="shared" si="65"/>
        <v>32.5</v>
      </c>
      <c r="G1392" s="1">
        <v>34</v>
      </c>
      <c r="H1392" s="1">
        <f t="shared" si="66"/>
        <v>34.5</v>
      </c>
      <c r="I1392" s="1">
        <v>34</v>
      </c>
      <c r="J1392" s="1">
        <f t="shared" si="67"/>
        <v>48</v>
      </c>
      <c r="K1392" s="1">
        <v>3</v>
      </c>
      <c r="L1392" s="1">
        <v>8</v>
      </c>
      <c r="M1392" s="1">
        <v>11</v>
      </c>
      <c r="P1392" s="2" t="s">
        <v>551</v>
      </c>
      <c r="Q1392" s="2" t="s">
        <v>551</v>
      </c>
      <c r="R1392" s="2" t="s">
        <v>551</v>
      </c>
      <c r="S1392" s="1">
        <v>32</v>
      </c>
    </row>
    <row r="1393" spans="1:19" x14ac:dyDescent="0.25">
      <c r="A1393" s="12">
        <v>44427</v>
      </c>
      <c r="B1393" s="14" t="s">
        <v>1405</v>
      </c>
      <c r="C1393" s="1">
        <v>9</v>
      </c>
      <c r="D1393" s="1">
        <v>13</v>
      </c>
      <c r="E1393" s="1">
        <v>22</v>
      </c>
      <c r="F1393" s="1">
        <f t="shared" si="65"/>
        <v>35.5</v>
      </c>
      <c r="G1393" s="1">
        <v>24</v>
      </c>
      <c r="H1393" s="1">
        <f t="shared" si="66"/>
        <v>34</v>
      </c>
      <c r="I1393" s="1">
        <v>31</v>
      </c>
      <c r="J1393" s="1">
        <f t="shared" si="67"/>
        <v>44.25</v>
      </c>
      <c r="K1393" s="1">
        <v>3</v>
      </c>
      <c r="L1393" s="1">
        <v>2</v>
      </c>
      <c r="M1393" s="1">
        <v>5</v>
      </c>
      <c r="P1393" s="2" t="s">
        <v>551</v>
      </c>
      <c r="Q1393" s="2" t="s">
        <v>551</v>
      </c>
      <c r="R1393" s="2" t="s">
        <v>551</v>
      </c>
      <c r="S1393" s="1">
        <v>33</v>
      </c>
    </row>
    <row r="1394" spans="1:19" x14ac:dyDescent="0.25">
      <c r="A1394" s="12">
        <v>44434</v>
      </c>
      <c r="B1394" s="14" t="s">
        <v>1406</v>
      </c>
      <c r="C1394" s="1">
        <v>9</v>
      </c>
      <c r="D1394" s="1">
        <v>17</v>
      </c>
      <c r="E1394" s="1">
        <v>26</v>
      </c>
      <c r="F1394" s="1">
        <f t="shared" si="65"/>
        <v>30.25</v>
      </c>
      <c r="G1394" s="1">
        <v>21</v>
      </c>
      <c r="H1394" s="1">
        <f t="shared" si="66"/>
        <v>31.75</v>
      </c>
      <c r="I1394" s="1">
        <v>34</v>
      </c>
      <c r="J1394" s="1">
        <f t="shared" si="67"/>
        <v>48.25</v>
      </c>
      <c r="K1394" s="1">
        <v>1</v>
      </c>
      <c r="L1394" s="1">
        <v>3</v>
      </c>
      <c r="M1394" s="1">
        <v>4</v>
      </c>
      <c r="P1394" s="2" t="s">
        <v>551</v>
      </c>
      <c r="Q1394" s="2" t="s">
        <v>551</v>
      </c>
      <c r="R1394" s="2" t="s">
        <v>551</v>
      </c>
      <c r="S1394" s="1">
        <v>34</v>
      </c>
    </row>
    <row r="1395" spans="1:19" x14ac:dyDescent="0.25">
      <c r="A1395" s="12" t="s">
        <v>1407</v>
      </c>
      <c r="B1395" s="14" t="s">
        <v>1408</v>
      </c>
      <c r="C1395" s="1">
        <v>3</v>
      </c>
      <c r="D1395" s="1">
        <v>7</v>
      </c>
      <c r="E1395" s="1">
        <v>10</v>
      </c>
      <c r="F1395" s="1">
        <f t="shared" si="65"/>
        <v>33.5</v>
      </c>
      <c r="G1395" s="1">
        <v>5</v>
      </c>
      <c r="H1395" s="1">
        <f t="shared" si="66"/>
        <v>32.25</v>
      </c>
      <c r="I1395" s="1">
        <v>15</v>
      </c>
      <c r="J1395" s="1">
        <f t="shared" si="67"/>
        <v>50.75</v>
      </c>
      <c r="K1395" s="1">
        <v>3</v>
      </c>
      <c r="L1395" s="1">
        <v>3</v>
      </c>
      <c r="M1395" s="1">
        <v>6</v>
      </c>
      <c r="P1395" s="2" t="s">
        <v>551</v>
      </c>
      <c r="Q1395" s="2" t="s">
        <v>551</v>
      </c>
      <c r="R1395" s="2" t="s">
        <v>551</v>
      </c>
      <c r="S1395" s="1">
        <v>35</v>
      </c>
    </row>
    <row r="1396" spans="1:19" x14ac:dyDescent="0.25">
      <c r="A1396" s="12">
        <v>44448</v>
      </c>
      <c r="B1396" s="14" t="s">
        <v>1409</v>
      </c>
      <c r="C1396" s="1">
        <v>2</v>
      </c>
      <c r="D1396" s="1">
        <v>22</v>
      </c>
      <c r="E1396" s="1">
        <v>24</v>
      </c>
      <c r="F1396" s="1">
        <f t="shared" si="65"/>
        <v>34.25</v>
      </c>
      <c r="G1396" s="1">
        <v>6</v>
      </c>
      <c r="H1396" s="1">
        <f t="shared" si="66"/>
        <v>35.5</v>
      </c>
      <c r="I1396" s="1">
        <v>30</v>
      </c>
      <c r="J1396" s="1">
        <f t="shared" si="67"/>
        <v>54.75</v>
      </c>
      <c r="K1396" s="1">
        <v>2</v>
      </c>
      <c r="L1396" s="1">
        <v>4</v>
      </c>
      <c r="M1396" s="1">
        <v>6</v>
      </c>
      <c r="P1396" s="2" t="s">
        <v>551</v>
      </c>
      <c r="Q1396" s="2" t="s">
        <v>551</v>
      </c>
      <c r="R1396" s="2" t="s">
        <v>551</v>
      </c>
      <c r="S1396" s="1">
        <v>36</v>
      </c>
    </row>
    <row r="1397" spans="1:19" x14ac:dyDescent="0.25">
      <c r="A1397" s="12">
        <v>44455</v>
      </c>
      <c r="B1397" s="14" t="s">
        <v>1410</v>
      </c>
      <c r="C1397" s="1">
        <v>6</v>
      </c>
      <c r="D1397" s="1">
        <v>26</v>
      </c>
      <c r="E1397" s="1">
        <v>32</v>
      </c>
      <c r="F1397" s="1">
        <f t="shared" si="65"/>
        <v>38.5</v>
      </c>
      <c r="G1397" s="1">
        <v>7</v>
      </c>
      <c r="H1397" s="1">
        <f t="shared" si="66"/>
        <v>30.25</v>
      </c>
      <c r="I1397" s="1">
        <v>28</v>
      </c>
      <c r="J1397" s="1">
        <f t="shared" si="67"/>
        <v>55.75</v>
      </c>
      <c r="K1397" s="1">
        <v>3</v>
      </c>
      <c r="L1397" s="1">
        <v>6</v>
      </c>
      <c r="M1397" s="1">
        <v>9</v>
      </c>
      <c r="P1397" s="2" t="s">
        <v>551</v>
      </c>
      <c r="Q1397" s="2" t="s">
        <v>551</v>
      </c>
      <c r="R1397" s="2" t="s">
        <v>551</v>
      </c>
      <c r="S1397" s="1">
        <v>37</v>
      </c>
    </row>
    <row r="1398" spans="1:19" x14ac:dyDescent="0.25">
      <c r="A1398" s="12">
        <v>44462</v>
      </c>
      <c r="B1398" s="14" t="s">
        <v>1411</v>
      </c>
      <c r="C1398" s="1">
        <v>11</v>
      </c>
      <c r="D1398" s="1">
        <v>46</v>
      </c>
      <c r="E1398" s="1">
        <v>57</v>
      </c>
      <c r="F1398" s="1">
        <f t="shared" si="65"/>
        <v>45.5</v>
      </c>
      <c r="G1398" s="1">
        <v>19</v>
      </c>
      <c r="H1398" s="1">
        <f t="shared" si="66"/>
        <v>31.75</v>
      </c>
      <c r="I1398" s="1">
        <v>53</v>
      </c>
      <c r="J1398" s="1">
        <f t="shared" si="67"/>
        <v>56.75</v>
      </c>
      <c r="K1398" s="1">
        <v>1</v>
      </c>
      <c r="L1398" s="1">
        <v>10</v>
      </c>
      <c r="M1398" s="1">
        <v>11</v>
      </c>
      <c r="P1398" s="2" t="s">
        <v>551</v>
      </c>
      <c r="Q1398" s="2" t="s">
        <v>551</v>
      </c>
      <c r="R1398" s="2" t="s">
        <v>551</v>
      </c>
      <c r="S1398" s="1">
        <v>38</v>
      </c>
    </row>
    <row r="1399" spans="1:19" x14ac:dyDescent="0.25">
      <c r="A1399" s="12">
        <v>44469</v>
      </c>
      <c r="B1399" s="14" t="s">
        <v>1412</v>
      </c>
      <c r="C1399" s="1">
        <v>14</v>
      </c>
      <c r="D1399" s="1">
        <v>43</v>
      </c>
      <c r="E1399" s="1">
        <v>57</v>
      </c>
      <c r="F1399" s="1">
        <f t="shared" si="65"/>
        <v>47.25</v>
      </c>
      <c r="G1399" s="1">
        <v>26</v>
      </c>
      <c r="H1399" s="1">
        <f t="shared" si="66"/>
        <v>36</v>
      </c>
      <c r="I1399" s="1">
        <v>53</v>
      </c>
      <c r="J1399" s="1">
        <f t="shared" si="67"/>
        <v>56.25</v>
      </c>
      <c r="K1399" s="1">
        <v>4</v>
      </c>
      <c r="L1399" s="1">
        <v>7</v>
      </c>
      <c r="M1399" s="1">
        <v>11</v>
      </c>
      <c r="P1399" s="2" t="s">
        <v>551</v>
      </c>
      <c r="Q1399" s="2" t="s">
        <v>551</v>
      </c>
      <c r="R1399" s="2" t="s">
        <v>551</v>
      </c>
      <c r="S1399" s="1">
        <v>39</v>
      </c>
    </row>
    <row r="1400" spans="1:19" x14ac:dyDescent="0.25">
      <c r="A1400" s="12">
        <v>44476</v>
      </c>
      <c r="B1400" s="14" t="s">
        <v>1413</v>
      </c>
      <c r="C1400" s="1">
        <v>14</v>
      </c>
      <c r="D1400" s="1">
        <v>35</v>
      </c>
      <c r="E1400" s="1">
        <v>49</v>
      </c>
      <c r="F1400" s="1">
        <f t="shared" si="65"/>
        <v>44</v>
      </c>
      <c r="G1400" s="1">
        <v>32</v>
      </c>
      <c r="H1400" s="1">
        <f t="shared" si="66"/>
        <v>36.25</v>
      </c>
      <c r="I1400" s="1">
        <v>53</v>
      </c>
      <c r="J1400" s="1">
        <f t="shared" si="67"/>
        <v>56.75</v>
      </c>
      <c r="K1400" s="1">
        <v>5</v>
      </c>
      <c r="L1400" s="1">
        <v>8</v>
      </c>
      <c r="M1400" s="1">
        <v>13</v>
      </c>
      <c r="P1400" s="2" t="s">
        <v>551</v>
      </c>
      <c r="Q1400" s="2" t="s">
        <v>551</v>
      </c>
      <c r="R1400" s="2" t="s">
        <v>551</v>
      </c>
      <c r="S1400" s="1">
        <v>40</v>
      </c>
    </row>
    <row r="1401" spans="1:19" x14ac:dyDescent="0.25">
      <c r="A1401" s="12">
        <v>44483</v>
      </c>
      <c r="B1401" s="14" t="s">
        <v>1414</v>
      </c>
      <c r="C1401" s="1">
        <v>12</v>
      </c>
      <c r="D1401" s="1">
        <v>20</v>
      </c>
      <c r="E1401" s="1">
        <v>32</v>
      </c>
      <c r="F1401" s="1">
        <f t="shared" si="65"/>
        <v>46.75</v>
      </c>
      <c r="G1401" s="1">
        <v>42</v>
      </c>
      <c r="H1401" s="1">
        <f t="shared" si="66"/>
        <v>35</v>
      </c>
      <c r="I1401" s="1">
        <v>51</v>
      </c>
      <c r="J1401" s="1">
        <f t="shared" si="67"/>
        <v>56.5</v>
      </c>
      <c r="K1401" s="1">
        <v>3</v>
      </c>
      <c r="L1401" s="1">
        <v>8</v>
      </c>
      <c r="M1401" s="1">
        <v>11</v>
      </c>
      <c r="P1401" s="2" t="s">
        <v>551</v>
      </c>
      <c r="Q1401" s="2" t="s">
        <v>551</v>
      </c>
      <c r="R1401" s="2" t="s">
        <v>551</v>
      </c>
      <c r="S1401" s="1">
        <v>41</v>
      </c>
    </row>
    <row r="1402" spans="1:19" x14ac:dyDescent="0.25">
      <c r="A1402" s="12">
        <v>44490</v>
      </c>
      <c r="B1402" s="14" t="s">
        <v>1415</v>
      </c>
      <c r="C1402" s="1">
        <v>14</v>
      </c>
      <c r="D1402" s="1">
        <v>25</v>
      </c>
      <c r="E1402" s="1">
        <v>39</v>
      </c>
      <c r="F1402" s="1">
        <f t="shared" si="65"/>
        <v>48</v>
      </c>
      <c r="G1402" s="1">
        <v>38</v>
      </c>
      <c r="H1402" s="1">
        <f t="shared" si="66"/>
        <v>35.5</v>
      </c>
      <c r="I1402" s="1">
        <v>47</v>
      </c>
      <c r="J1402" s="1">
        <f t="shared" si="67"/>
        <v>52.25</v>
      </c>
      <c r="K1402" s="1">
        <v>6</v>
      </c>
      <c r="L1402" s="1">
        <v>10</v>
      </c>
      <c r="M1402" s="1">
        <v>16</v>
      </c>
      <c r="P1402" s="2" t="s">
        <v>551</v>
      </c>
      <c r="Q1402" s="2" t="s">
        <v>551</v>
      </c>
      <c r="R1402" s="2" t="s">
        <v>551</v>
      </c>
      <c r="S1402" s="1">
        <v>42</v>
      </c>
    </row>
    <row r="1403" spans="1:19" x14ac:dyDescent="0.25">
      <c r="A1403" s="12">
        <v>44497</v>
      </c>
      <c r="B1403" s="14" t="s">
        <v>1416</v>
      </c>
      <c r="C1403" s="1">
        <v>15</v>
      </c>
      <c r="D1403" s="1">
        <v>26</v>
      </c>
      <c r="E1403" s="1">
        <v>41</v>
      </c>
      <c r="F1403" s="1">
        <f t="shared" si="65"/>
        <v>48.25</v>
      </c>
      <c r="G1403" s="1">
        <v>35</v>
      </c>
      <c r="H1403" s="1">
        <f t="shared" si="66"/>
        <v>32.25</v>
      </c>
      <c r="I1403" s="1">
        <v>69</v>
      </c>
      <c r="J1403" s="1">
        <f t="shared" si="67"/>
        <v>52.25</v>
      </c>
      <c r="K1403" s="1">
        <v>5</v>
      </c>
      <c r="L1403" s="1">
        <v>10</v>
      </c>
      <c r="M1403" s="1">
        <v>15</v>
      </c>
      <c r="P1403" s="2" t="s">
        <v>551</v>
      </c>
      <c r="Q1403" s="2" t="s">
        <v>551</v>
      </c>
      <c r="R1403" s="2" t="s">
        <v>551</v>
      </c>
      <c r="S1403" s="1">
        <v>43</v>
      </c>
    </row>
    <row r="1404" spans="1:19" x14ac:dyDescent="0.25">
      <c r="A1404" s="12">
        <v>44504</v>
      </c>
      <c r="B1404" s="14" t="s">
        <v>1417</v>
      </c>
      <c r="C1404" s="1">
        <v>13</v>
      </c>
      <c r="D1404" s="1">
        <v>31</v>
      </c>
      <c r="E1404" s="1">
        <v>44</v>
      </c>
      <c r="F1404" s="1">
        <f t="shared" ref="F1404:F1441" si="68">AVERAGE(E1352,E1300,E1248,E1196)</f>
        <v>46.5</v>
      </c>
      <c r="G1404" s="1">
        <v>38</v>
      </c>
      <c r="H1404" s="1">
        <f t="shared" ref="H1404:H1441" si="69">AVERAGE(G1352,G1300,G1248,G1196)</f>
        <v>37.25</v>
      </c>
      <c r="I1404" s="1">
        <v>66</v>
      </c>
      <c r="J1404" s="1">
        <f t="shared" ref="J1404:J1441" si="70">AVERAGE(I1352,I1300,I1248,I1196)</f>
        <v>50.5</v>
      </c>
      <c r="K1404" s="1">
        <v>5</v>
      </c>
      <c r="L1404" s="1">
        <v>11</v>
      </c>
      <c r="M1404" s="1">
        <v>16</v>
      </c>
      <c r="P1404" s="2" t="s">
        <v>551</v>
      </c>
      <c r="Q1404" s="2" t="s">
        <v>551</v>
      </c>
      <c r="R1404" s="2" t="s">
        <v>551</v>
      </c>
      <c r="S1404" s="1">
        <v>44</v>
      </c>
    </row>
    <row r="1405" spans="1:19" x14ac:dyDescent="0.25">
      <c r="A1405" s="12">
        <v>44511</v>
      </c>
      <c r="B1405" s="14" t="s">
        <v>1418</v>
      </c>
      <c r="C1405" s="1">
        <v>16</v>
      </c>
      <c r="D1405" s="1">
        <v>33</v>
      </c>
      <c r="E1405" s="1">
        <v>49</v>
      </c>
      <c r="F1405" s="1">
        <f t="shared" si="68"/>
        <v>43</v>
      </c>
      <c r="G1405" s="1">
        <v>39</v>
      </c>
      <c r="H1405" s="1">
        <f t="shared" si="69"/>
        <v>37.25</v>
      </c>
      <c r="I1405" s="1">
        <v>64</v>
      </c>
      <c r="J1405" s="1">
        <f t="shared" si="70"/>
        <v>57</v>
      </c>
      <c r="K1405" s="1">
        <v>5</v>
      </c>
      <c r="L1405" s="1">
        <v>14</v>
      </c>
      <c r="M1405" s="1">
        <v>19</v>
      </c>
      <c r="P1405" s="2" t="s">
        <v>551</v>
      </c>
      <c r="Q1405" s="2" t="s">
        <v>551</v>
      </c>
      <c r="R1405" s="2" t="s">
        <v>551</v>
      </c>
      <c r="S1405" s="1">
        <v>45</v>
      </c>
    </row>
    <row r="1406" spans="1:19" x14ac:dyDescent="0.25">
      <c r="A1406" s="12">
        <v>44518</v>
      </c>
      <c r="B1406" s="14" t="s">
        <v>1419</v>
      </c>
      <c r="C1406" s="1">
        <v>18</v>
      </c>
      <c r="D1406" s="1">
        <v>32</v>
      </c>
      <c r="E1406" s="1">
        <v>50</v>
      </c>
      <c r="F1406" s="1">
        <f t="shared" si="68"/>
        <v>43.75</v>
      </c>
      <c r="G1406" s="1">
        <v>37</v>
      </c>
      <c r="H1406" s="1">
        <f t="shared" si="69"/>
        <v>34.75</v>
      </c>
      <c r="I1406" s="1">
        <v>47</v>
      </c>
      <c r="J1406" s="1">
        <f t="shared" si="70"/>
        <v>51.75</v>
      </c>
      <c r="K1406" s="1">
        <v>6</v>
      </c>
      <c r="L1406" s="1">
        <v>19</v>
      </c>
      <c r="M1406" s="1">
        <v>25</v>
      </c>
      <c r="P1406" s="2" t="s">
        <v>551</v>
      </c>
      <c r="Q1406" s="2" t="s">
        <v>551</v>
      </c>
      <c r="R1406" s="2" t="s">
        <v>551</v>
      </c>
      <c r="S1406" s="1">
        <v>46</v>
      </c>
    </row>
    <row r="1407" spans="1:19" x14ac:dyDescent="0.25">
      <c r="A1407" s="12">
        <v>44525</v>
      </c>
      <c r="B1407" s="14" t="s">
        <v>1420</v>
      </c>
      <c r="C1407" s="1">
        <v>7</v>
      </c>
      <c r="D1407" s="1">
        <v>19</v>
      </c>
      <c r="E1407" s="1">
        <v>26</v>
      </c>
      <c r="F1407" s="1">
        <f t="shared" si="68"/>
        <v>40</v>
      </c>
      <c r="G1407" s="1">
        <v>21</v>
      </c>
      <c r="H1407" s="1">
        <f t="shared" si="69"/>
        <v>39.5</v>
      </c>
      <c r="I1407" s="1">
        <v>29</v>
      </c>
      <c r="J1407" s="1">
        <f t="shared" si="70"/>
        <v>51.5</v>
      </c>
      <c r="K1407" s="2">
        <v>0</v>
      </c>
      <c r="L1407" s="2">
        <v>0</v>
      </c>
      <c r="M1407" s="2">
        <v>0</v>
      </c>
      <c r="P1407" s="2" t="s">
        <v>551</v>
      </c>
      <c r="Q1407" s="2" t="s">
        <v>551</v>
      </c>
      <c r="R1407" s="2" t="s">
        <v>551</v>
      </c>
      <c r="S1407" s="1">
        <v>47</v>
      </c>
    </row>
    <row r="1408" spans="1:19" x14ac:dyDescent="0.25">
      <c r="A1408" s="12">
        <v>44532</v>
      </c>
      <c r="B1408" s="14" t="s">
        <v>1421</v>
      </c>
      <c r="C1408" s="1">
        <v>14</v>
      </c>
      <c r="D1408" s="1">
        <v>29</v>
      </c>
      <c r="E1408" s="1">
        <v>43</v>
      </c>
      <c r="F1408" s="1">
        <f t="shared" si="68"/>
        <v>37.5</v>
      </c>
      <c r="G1408" s="1">
        <v>34</v>
      </c>
      <c r="H1408" s="1">
        <f t="shared" si="69"/>
        <v>33.5</v>
      </c>
      <c r="I1408" s="1">
        <v>52</v>
      </c>
      <c r="J1408" s="1">
        <f t="shared" si="70"/>
        <v>57.5</v>
      </c>
      <c r="K1408" s="1">
        <v>6</v>
      </c>
      <c r="L1408" s="1">
        <v>14</v>
      </c>
      <c r="M1408" s="1">
        <v>20</v>
      </c>
      <c r="P1408" s="2" t="s">
        <v>551</v>
      </c>
      <c r="Q1408" s="2" t="s">
        <v>551</v>
      </c>
      <c r="R1408" s="2" t="s">
        <v>551</v>
      </c>
      <c r="S1408" s="1">
        <v>48</v>
      </c>
    </row>
    <row r="1409" spans="1:19" x14ac:dyDescent="0.25">
      <c r="A1409" s="12">
        <v>44539</v>
      </c>
      <c r="B1409" s="14" t="s">
        <v>1422</v>
      </c>
      <c r="C1409" s="1">
        <v>14</v>
      </c>
      <c r="D1409" s="1">
        <v>26</v>
      </c>
      <c r="E1409" s="1">
        <v>40</v>
      </c>
      <c r="F1409" s="1">
        <f t="shared" si="68"/>
        <v>34.25</v>
      </c>
      <c r="G1409" s="1">
        <v>30</v>
      </c>
      <c r="H1409" s="1">
        <f t="shared" si="69"/>
        <v>37.25</v>
      </c>
      <c r="I1409" s="1">
        <v>64</v>
      </c>
      <c r="J1409" s="1">
        <f t="shared" si="70"/>
        <v>57.5</v>
      </c>
      <c r="K1409" s="1">
        <v>6</v>
      </c>
      <c r="L1409" s="1">
        <v>14</v>
      </c>
      <c r="M1409" s="1">
        <v>20</v>
      </c>
      <c r="P1409" s="2" t="s">
        <v>551</v>
      </c>
      <c r="Q1409" s="2" t="s">
        <v>551</v>
      </c>
      <c r="R1409" s="2" t="s">
        <v>551</v>
      </c>
      <c r="S1409" s="1">
        <v>49</v>
      </c>
    </row>
    <row r="1410" spans="1:19" x14ac:dyDescent="0.25">
      <c r="A1410" s="12">
        <v>44546</v>
      </c>
      <c r="B1410" s="14" t="s">
        <v>1423</v>
      </c>
      <c r="C1410" s="1">
        <v>11</v>
      </c>
      <c r="D1410" s="1">
        <v>22</v>
      </c>
      <c r="E1410" s="1">
        <v>33</v>
      </c>
      <c r="F1410" s="1">
        <f t="shared" si="68"/>
        <v>45.75</v>
      </c>
      <c r="G1410" s="1">
        <v>33</v>
      </c>
      <c r="H1410" s="1">
        <f t="shared" si="69"/>
        <v>32.75</v>
      </c>
      <c r="I1410" s="1">
        <v>60</v>
      </c>
      <c r="J1410" s="1">
        <f t="shared" si="70"/>
        <v>49.5</v>
      </c>
      <c r="K1410" s="1">
        <v>5</v>
      </c>
      <c r="L1410" s="1">
        <v>16</v>
      </c>
      <c r="M1410" s="1">
        <v>21</v>
      </c>
      <c r="P1410" s="2" t="s">
        <v>551</v>
      </c>
      <c r="Q1410" s="2" t="s">
        <v>551</v>
      </c>
      <c r="R1410" s="2" t="s">
        <v>551</v>
      </c>
      <c r="S1410" s="1">
        <v>50</v>
      </c>
    </row>
    <row r="1411" spans="1:19" x14ac:dyDescent="0.25">
      <c r="A1411" s="12">
        <v>44553</v>
      </c>
      <c r="B1411" s="14" t="s">
        <v>1424</v>
      </c>
      <c r="C1411" s="1">
        <v>11</v>
      </c>
      <c r="D1411" s="1">
        <v>30</v>
      </c>
      <c r="E1411" s="1">
        <v>41</v>
      </c>
      <c r="F1411" s="1">
        <f t="shared" si="68"/>
        <v>42.25</v>
      </c>
      <c r="G1411" s="1">
        <v>28</v>
      </c>
      <c r="H1411" s="1">
        <f t="shared" si="69"/>
        <v>35</v>
      </c>
      <c r="I1411" s="1">
        <v>52</v>
      </c>
      <c r="J1411" s="1">
        <f t="shared" si="70"/>
        <v>50.25</v>
      </c>
      <c r="K1411" s="1">
        <v>5</v>
      </c>
      <c r="L1411" s="1">
        <v>16</v>
      </c>
      <c r="M1411" s="1">
        <v>21</v>
      </c>
      <c r="P1411" s="2" t="s">
        <v>551</v>
      </c>
      <c r="Q1411" s="2" t="s">
        <v>551</v>
      </c>
      <c r="R1411" s="2" t="s">
        <v>551</v>
      </c>
      <c r="S1411" s="1">
        <v>51</v>
      </c>
    </row>
    <row r="1412" spans="1:19" x14ac:dyDescent="0.25">
      <c r="A1412" s="12">
        <v>44560</v>
      </c>
      <c r="B1412" s="14" t="s">
        <v>1425</v>
      </c>
      <c r="C1412" s="1">
        <v>12</v>
      </c>
      <c r="D1412" s="1">
        <v>43</v>
      </c>
      <c r="E1412" s="1">
        <v>55</v>
      </c>
      <c r="F1412" s="1">
        <f t="shared" si="68"/>
        <v>32.75</v>
      </c>
      <c r="G1412" s="1">
        <v>25</v>
      </c>
      <c r="H1412" s="1">
        <f t="shared" si="69"/>
        <v>34</v>
      </c>
      <c r="I1412" s="1">
        <v>58</v>
      </c>
      <c r="J1412" s="1">
        <f t="shared" si="70"/>
        <v>52.25</v>
      </c>
      <c r="K1412" s="1">
        <v>6</v>
      </c>
      <c r="L1412" s="1">
        <v>14</v>
      </c>
      <c r="M1412" s="1">
        <v>20</v>
      </c>
      <c r="P1412" s="2" t="s">
        <v>551</v>
      </c>
      <c r="Q1412" s="2" t="s">
        <v>551</v>
      </c>
      <c r="R1412" s="2" t="s">
        <v>551</v>
      </c>
      <c r="S1412" s="1">
        <v>52</v>
      </c>
    </row>
    <row r="1413" spans="1:19" x14ac:dyDescent="0.25">
      <c r="A1413" s="12">
        <v>44567</v>
      </c>
      <c r="B1413" s="14" t="s">
        <v>1426</v>
      </c>
      <c r="C1413" s="1">
        <v>15</v>
      </c>
      <c r="D1413" s="1">
        <v>32</v>
      </c>
      <c r="E1413" s="1">
        <v>47</v>
      </c>
      <c r="F1413" s="1">
        <f t="shared" si="68"/>
        <v>38.5</v>
      </c>
      <c r="G1413" s="1">
        <v>31</v>
      </c>
      <c r="H1413" s="1">
        <f t="shared" si="69"/>
        <v>36.25</v>
      </c>
      <c r="I1413" s="1">
        <v>62</v>
      </c>
      <c r="J1413" s="1">
        <f t="shared" si="70"/>
        <v>59</v>
      </c>
      <c r="K1413" s="1">
        <v>4</v>
      </c>
      <c r="L1413" s="1">
        <v>17</v>
      </c>
      <c r="M1413" s="1">
        <v>21</v>
      </c>
      <c r="P1413" s="2" t="s">
        <v>551</v>
      </c>
      <c r="Q1413" s="2" t="s">
        <v>551</v>
      </c>
      <c r="R1413" s="2" t="s">
        <v>551</v>
      </c>
      <c r="S1413" s="1">
        <v>1</v>
      </c>
    </row>
    <row r="1414" spans="1:19" x14ac:dyDescent="0.25">
      <c r="A1414" s="12">
        <v>44574</v>
      </c>
      <c r="B1414" s="14" t="s">
        <v>1427</v>
      </c>
      <c r="C1414" s="1">
        <v>14</v>
      </c>
      <c r="D1414" s="1">
        <v>34</v>
      </c>
      <c r="E1414" s="1">
        <v>48</v>
      </c>
      <c r="F1414" s="1">
        <f t="shared" si="68"/>
        <v>43.25</v>
      </c>
      <c r="G1414" s="1">
        <v>33</v>
      </c>
      <c r="H1414" s="1">
        <f t="shared" si="69"/>
        <v>35</v>
      </c>
      <c r="I1414" s="1">
        <v>59</v>
      </c>
      <c r="J1414" s="1">
        <f t="shared" si="70"/>
        <v>59.25</v>
      </c>
      <c r="K1414" s="1">
        <v>6</v>
      </c>
      <c r="L1414" s="1">
        <v>17</v>
      </c>
      <c r="M1414" s="1">
        <v>23</v>
      </c>
      <c r="P1414" s="2" t="s">
        <v>551</v>
      </c>
      <c r="Q1414" s="2" t="s">
        <v>551</v>
      </c>
      <c r="R1414" s="2" t="s">
        <v>551</v>
      </c>
      <c r="S1414" s="1">
        <v>2</v>
      </c>
    </row>
    <row r="1415" spans="1:19" x14ac:dyDescent="0.25">
      <c r="A1415" s="12">
        <v>44581</v>
      </c>
      <c r="B1415" s="14" t="s">
        <v>1428</v>
      </c>
      <c r="C1415" s="1">
        <v>14</v>
      </c>
      <c r="D1415" s="1">
        <v>32</v>
      </c>
      <c r="E1415" s="1">
        <v>46</v>
      </c>
      <c r="F1415" s="1">
        <f t="shared" si="68"/>
        <v>45.75</v>
      </c>
      <c r="G1415" s="1">
        <v>38</v>
      </c>
      <c r="H1415" s="1">
        <f t="shared" si="69"/>
        <v>36.25</v>
      </c>
      <c r="I1415" s="1">
        <v>56</v>
      </c>
      <c r="J1415" s="1">
        <f t="shared" si="70"/>
        <v>52</v>
      </c>
      <c r="K1415" s="1">
        <v>5</v>
      </c>
      <c r="L1415" s="1">
        <v>18</v>
      </c>
      <c r="M1415" s="1">
        <v>23</v>
      </c>
      <c r="P1415" s="2" t="s">
        <v>551</v>
      </c>
      <c r="Q1415" s="2" t="s">
        <v>551</v>
      </c>
      <c r="R1415" s="2" t="s">
        <v>551</v>
      </c>
      <c r="S1415" s="1">
        <v>3</v>
      </c>
    </row>
    <row r="1416" spans="1:19" x14ac:dyDescent="0.25">
      <c r="A1416" s="12">
        <v>44588</v>
      </c>
      <c r="B1416" s="14" t="s">
        <v>1429</v>
      </c>
      <c r="C1416" s="1">
        <v>16</v>
      </c>
      <c r="D1416" s="1">
        <v>45</v>
      </c>
      <c r="E1416" s="1">
        <v>61</v>
      </c>
      <c r="F1416" s="1">
        <f t="shared" si="68"/>
        <v>48</v>
      </c>
      <c r="G1416" s="1">
        <v>37</v>
      </c>
      <c r="H1416" s="1">
        <f t="shared" si="69"/>
        <v>35</v>
      </c>
      <c r="I1416" s="1">
        <v>52</v>
      </c>
      <c r="J1416" s="1">
        <f t="shared" si="70"/>
        <v>55.5</v>
      </c>
      <c r="K1416" s="1">
        <v>5</v>
      </c>
      <c r="L1416" s="1">
        <v>13</v>
      </c>
      <c r="M1416" s="1">
        <v>18</v>
      </c>
      <c r="P1416" s="2" t="s">
        <v>551</v>
      </c>
      <c r="Q1416" s="2" t="s">
        <v>551</v>
      </c>
      <c r="R1416" s="2" t="s">
        <v>551</v>
      </c>
      <c r="S1416" s="1">
        <v>4</v>
      </c>
    </row>
    <row r="1417" spans="1:19" x14ac:dyDescent="0.25">
      <c r="A1417" s="12">
        <v>44595</v>
      </c>
      <c r="B1417" s="14" t="s">
        <v>1430</v>
      </c>
      <c r="C1417" s="1">
        <v>10</v>
      </c>
      <c r="D1417" s="1">
        <v>30</v>
      </c>
      <c r="E1417" s="1">
        <v>40</v>
      </c>
      <c r="F1417" s="1">
        <f t="shared" si="68"/>
        <v>46.75</v>
      </c>
      <c r="G1417" s="1">
        <v>35</v>
      </c>
      <c r="H1417" s="1">
        <f t="shared" si="69"/>
        <v>34.25</v>
      </c>
      <c r="I1417" s="1">
        <v>45</v>
      </c>
      <c r="J1417" s="1">
        <f t="shared" si="70"/>
        <v>56.5</v>
      </c>
      <c r="K1417" s="1">
        <v>6</v>
      </c>
      <c r="L1417" s="1">
        <v>17</v>
      </c>
      <c r="M1417" s="1">
        <v>23</v>
      </c>
      <c r="P1417" s="2" t="s">
        <v>551</v>
      </c>
      <c r="Q1417" s="2" t="s">
        <v>551</v>
      </c>
      <c r="R1417" s="2" t="s">
        <v>551</v>
      </c>
      <c r="S1417" s="1">
        <v>5</v>
      </c>
    </row>
    <row r="1418" spans="1:19" x14ac:dyDescent="0.25">
      <c r="A1418" s="12">
        <v>44602</v>
      </c>
      <c r="B1418" s="14" t="s">
        <v>1431</v>
      </c>
      <c r="C1418" s="1">
        <v>12</v>
      </c>
      <c r="D1418" s="1">
        <v>25</v>
      </c>
      <c r="E1418" s="1">
        <v>37</v>
      </c>
      <c r="F1418" s="1">
        <f t="shared" si="68"/>
        <v>42.5</v>
      </c>
      <c r="G1418" s="1">
        <v>32</v>
      </c>
      <c r="H1418" s="1">
        <f t="shared" si="69"/>
        <v>38.25</v>
      </c>
      <c r="I1418" s="1">
        <v>53</v>
      </c>
      <c r="J1418" s="1">
        <f t="shared" si="70"/>
        <v>56.25</v>
      </c>
      <c r="K1418" s="1">
        <v>5</v>
      </c>
      <c r="L1418" s="1">
        <v>17</v>
      </c>
      <c r="M1418" s="4">
        <v>22</v>
      </c>
      <c r="P1418" s="2" t="s">
        <v>551</v>
      </c>
      <c r="Q1418" s="2" t="s">
        <v>551</v>
      </c>
      <c r="R1418" s="2" t="s">
        <v>551</v>
      </c>
      <c r="S1418" s="1">
        <v>6</v>
      </c>
    </row>
    <row r="1419" spans="1:19" x14ac:dyDescent="0.25">
      <c r="A1419" s="12">
        <v>44609</v>
      </c>
      <c r="B1419" s="14" t="s">
        <v>1432</v>
      </c>
      <c r="C1419" s="1">
        <v>13</v>
      </c>
      <c r="D1419" s="1">
        <v>20</v>
      </c>
      <c r="E1419" s="1">
        <v>33</v>
      </c>
      <c r="F1419" s="1">
        <f t="shared" si="68"/>
        <v>47.5</v>
      </c>
      <c r="G1419" s="1">
        <v>39</v>
      </c>
      <c r="H1419" s="1">
        <f t="shared" si="69"/>
        <v>33.25</v>
      </c>
      <c r="I1419" s="1">
        <v>48</v>
      </c>
      <c r="J1419" s="1">
        <f t="shared" si="70"/>
        <v>54.25</v>
      </c>
      <c r="K1419" s="1">
        <v>5</v>
      </c>
      <c r="L1419" s="1">
        <v>12</v>
      </c>
      <c r="M1419" s="1">
        <v>17</v>
      </c>
      <c r="P1419" s="2" t="s">
        <v>551</v>
      </c>
      <c r="Q1419" s="2" t="s">
        <v>551</v>
      </c>
      <c r="R1419" s="2" t="s">
        <v>551</v>
      </c>
      <c r="S1419" s="1">
        <v>7</v>
      </c>
    </row>
    <row r="1420" spans="1:19" x14ac:dyDescent="0.25">
      <c r="A1420" s="12">
        <v>44616</v>
      </c>
      <c r="B1420" s="14" t="s">
        <v>1433</v>
      </c>
      <c r="C1420" s="1">
        <v>9</v>
      </c>
      <c r="D1420" s="1">
        <v>24</v>
      </c>
      <c r="E1420" s="1">
        <v>33</v>
      </c>
      <c r="F1420" s="1">
        <f t="shared" si="68"/>
        <v>39.75</v>
      </c>
      <c r="G1420" s="1">
        <v>26</v>
      </c>
      <c r="H1420" s="1">
        <f t="shared" si="69"/>
        <v>36.5</v>
      </c>
      <c r="I1420" s="1">
        <v>43</v>
      </c>
      <c r="J1420" s="1">
        <f t="shared" si="70"/>
        <v>56.25</v>
      </c>
      <c r="K1420" s="1">
        <v>4</v>
      </c>
      <c r="L1420" s="1">
        <v>7</v>
      </c>
      <c r="M1420" s="1">
        <v>11</v>
      </c>
      <c r="P1420" s="2" t="s">
        <v>551</v>
      </c>
      <c r="Q1420" s="2" t="s">
        <v>551</v>
      </c>
      <c r="R1420" s="2" t="s">
        <v>551</v>
      </c>
      <c r="S1420" s="1">
        <v>8</v>
      </c>
    </row>
    <row r="1421" spans="1:19" x14ac:dyDescent="0.25">
      <c r="A1421" s="12">
        <v>44623</v>
      </c>
      <c r="B1421" s="14" t="s">
        <v>1434</v>
      </c>
      <c r="C1421" s="1">
        <v>10</v>
      </c>
      <c r="D1421" s="1">
        <v>20</v>
      </c>
      <c r="E1421" s="1">
        <v>30</v>
      </c>
      <c r="F1421" s="1">
        <f t="shared" si="68"/>
        <v>46.5</v>
      </c>
      <c r="G1421" s="1">
        <v>33</v>
      </c>
      <c r="H1421" s="1">
        <f t="shared" si="69"/>
        <v>33.25</v>
      </c>
      <c r="I1421" s="1">
        <v>38</v>
      </c>
      <c r="J1421" s="1">
        <f t="shared" si="70"/>
        <v>54.75</v>
      </c>
      <c r="K1421" s="1">
        <v>4</v>
      </c>
      <c r="L1421" s="1">
        <v>4</v>
      </c>
      <c r="M1421" s="1">
        <v>8</v>
      </c>
      <c r="P1421" s="2" t="s">
        <v>551</v>
      </c>
      <c r="Q1421" s="2" t="s">
        <v>551</v>
      </c>
      <c r="R1421" s="2" t="s">
        <v>551</v>
      </c>
      <c r="S1421" s="1">
        <v>9</v>
      </c>
    </row>
    <row r="1422" spans="1:19" x14ac:dyDescent="0.25">
      <c r="A1422" s="12">
        <v>44630</v>
      </c>
      <c r="B1422" s="14" t="s">
        <v>1435</v>
      </c>
      <c r="C1422" s="1">
        <v>13</v>
      </c>
      <c r="D1422" s="1">
        <v>13</v>
      </c>
      <c r="E1422" s="1">
        <v>26</v>
      </c>
      <c r="F1422" s="1">
        <f t="shared" si="68"/>
        <v>43</v>
      </c>
      <c r="G1422" s="1">
        <v>32</v>
      </c>
      <c r="H1422" s="1">
        <f t="shared" si="69"/>
        <v>37.75</v>
      </c>
      <c r="I1422" s="1">
        <v>58</v>
      </c>
      <c r="J1422" s="1">
        <f t="shared" si="70"/>
        <v>55.5</v>
      </c>
      <c r="K1422" s="1">
        <v>4</v>
      </c>
      <c r="L1422" s="1">
        <v>6</v>
      </c>
      <c r="M1422" s="1">
        <v>10</v>
      </c>
      <c r="P1422" s="2" t="s">
        <v>551</v>
      </c>
      <c r="Q1422" s="2" t="s">
        <v>551</v>
      </c>
      <c r="R1422" s="2" t="s">
        <v>551</v>
      </c>
      <c r="S1422" s="1">
        <v>10</v>
      </c>
    </row>
    <row r="1423" spans="1:19" x14ac:dyDescent="0.25">
      <c r="A1423" s="12">
        <v>44637</v>
      </c>
      <c r="B1423" s="14" t="s">
        <v>1436</v>
      </c>
      <c r="C1423" s="1">
        <v>9</v>
      </c>
      <c r="D1423" s="1">
        <v>10</v>
      </c>
      <c r="E1423" s="1">
        <v>19</v>
      </c>
      <c r="F1423" s="1">
        <f t="shared" si="68"/>
        <v>39.5</v>
      </c>
      <c r="G1423" s="1">
        <v>34</v>
      </c>
      <c r="H1423" s="1">
        <f t="shared" si="69"/>
        <v>32.5</v>
      </c>
      <c r="I1423" s="1">
        <v>59</v>
      </c>
      <c r="J1423" s="1">
        <f t="shared" si="70"/>
        <v>51.25</v>
      </c>
      <c r="K1423" s="1">
        <v>3</v>
      </c>
      <c r="L1423" s="1">
        <v>7</v>
      </c>
      <c r="M1423" s="1">
        <v>10</v>
      </c>
      <c r="P1423" s="2" t="s">
        <v>551</v>
      </c>
      <c r="Q1423" s="2" t="s">
        <v>551</v>
      </c>
      <c r="R1423" s="2" t="s">
        <v>551</v>
      </c>
      <c r="S1423" s="1">
        <v>11</v>
      </c>
    </row>
    <row r="1424" spans="1:19" x14ac:dyDescent="0.25">
      <c r="A1424" s="12">
        <v>44644</v>
      </c>
      <c r="B1424" s="14" t="s">
        <v>1437</v>
      </c>
      <c r="C1424" s="1">
        <v>12</v>
      </c>
      <c r="D1424" s="1">
        <v>19</v>
      </c>
      <c r="E1424" s="1">
        <v>31</v>
      </c>
      <c r="F1424" s="1">
        <f t="shared" si="68"/>
        <v>40.5</v>
      </c>
      <c r="G1424" s="1">
        <v>32</v>
      </c>
      <c r="H1424" s="1">
        <f t="shared" si="69"/>
        <v>34.25</v>
      </c>
      <c r="I1424" s="1">
        <v>47</v>
      </c>
      <c r="J1424" s="1">
        <f t="shared" si="70"/>
        <v>46.75</v>
      </c>
      <c r="K1424" s="1">
        <v>3</v>
      </c>
      <c r="L1424" s="1">
        <v>7</v>
      </c>
      <c r="M1424" s="1">
        <v>10</v>
      </c>
      <c r="P1424" s="2" t="s">
        <v>551</v>
      </c>
      <c r="Q1424" s="2" t="s">
        <v>551</v>
      </c>
      <c r="R1424" s="2" t="s">
        <v>551</v>
      </c>
      <c r="S1424" s="1">
        <v>12</v>
      </c>
    </row>
    <row r="1425" spans="1:19" x14ac:dyDescent="0.25">
      <c r="A1425" s="12">
        <v>44651</v>
      </c>
      <c r="B1425" s="14" t="s">
        <v>1438</v>
      </c>
      <c r="C1425" s="1">
        <v>11</v>
      </c>
      <c r="D1425" s="1">
        <v>22</v>
      </c>
      <c r="E1425" s="1">
        <v>33</v>
      </c>
      <c r="F1425" s="1">
        <f t="shared" si="68"/>
        <v>39.25</v>
      </c>
      <c r="G1425" s="1">
        <v>33</v>
      </c>
      <c r="H1425" s="1">
        <f t="shared" si="69"/>
        <v>32.75</v>
      </c>
      <c r="I1425" s="1">
        <v>48</v>
      </c>
      <c r="J1425" s="1">
        <f t="shared" si="70"/>
        <v>46.75</v>
      </c>
      <c r="K1425" s="1">
        <v>4</v>
      </c>
      <c r="L1425" s="1">
        <v>8</v>
      </c>
      <c r="M1425" s="1">
        <v>12</v>
      </c>
      <c r="P1425" s="2" t="s">
        <v>551</v>
      </c>
      <c r="Q1425" s="2" t="s">
        <v>551</v>
      </c>
      <c r="R1425" s="2" t="s">
        <v>551</v>
      </c>
      <c r="S1425" s="1">
        <v>13</v>
      </c>
    </row>
    <row r="1426" spans="1:19" x14ac:dyDescent="0.25">
      <c r="A1426" s="12">
        <v>44658</v>
      </c>
      <c r="B1426" s="14" t="s">
        <v>1439</v>
      </c>
      <c r="C1426" s="1">
        <v>13</v>
      </c>
      <c r="D1426" s="1">
        <v>12</v>
      </c>
      <c r="E1426" s="1">
        <v>25</v>
      </c>
      <c r="F1426" s="1">
        <f t="shared" si="68"/>
        <v>37.5</v>
      </c>
      <c r="G1426" s="1">
        <v>36</v>
      </c>
      <c r="H1426" s="1">
        <f t="shared" si="69"/>
        <v>33.75</v>
      </c>
      <c r="I1426" s="1">
        <v>54</v>
      </c>
      <c r="J1426" s="1">
        <f t="shared" si="70"/>
        <v>52.5</v>
      </c>
      <c r="K1426" s="1">
        <v>4</v>
      </c>
      <c r="L1426" s="1">
        <v>3</v>
      </c>
      <c r="M1426" s="1">
        <v>7</v>
      </c>
      <c r="P1426" s="2" t="s">
        <v>551</v>
      </c>
      <c r="Q1426" s="2" t="s">
        <v>551</v>
      </c>
      <c r="R1426" s="2" t="s">
        <v>551</v>
      </c>
      <c r="S1426" s="1">
        <v>14</v>
      </c>
    </row>
    <row r="1427" spans="1:19" x14ac:dyDescent="0.25">
      <c r="A1427" s="12">
        <v>44665</v>
      </c>
      <c r="B1427" s="14" t="s">
        <v>1440</v>
      </c>
      <c r="C1427" s="1">
        <v>14</v>
      </c>
      <c r="D1427" s="1">
        <v>20</v>
      </c>
      <c r="E1427" s="1">
        <v>34</v>
      </c>
      <c r="F1427" s="1">
        <f t="shared" si="68"/>
        <v>37.25</v>
      </c>
      <c r="G1427" s="1">
        <v>32</v>
      </c>
      <c r="H1427" s="1">
        <f t="shared" si="69"/>
        <v>33.25</v>
      </c>
      <c r="I1427" s="1">
        <v>58</v>
      </c>
      <c r="J1427" s="1">
        <f t="shared" si="70"/>
        <v>48.25</v>
      </c>
      <c r="K1427" s="1">
        <v>4</v>
      </c>
      <c r="L1427" s="1">
        <v>8</v>
      </c>
      <c r="M1427" s="1">
        <v>12</v>
      </c>
      <c r="P1427" s="2" t="s">
        <v>551</v>
      </c>
      <c r="Q1427" s="2" t="s">
        <v>551</v>
      </c>
      <c r="R1427" s="2" t="s">
        <v>551</v>
      </c>
      <c r="S1427" s="1">
        <v>15</v>
      </c>
    </row>
    <row r="1428" spans="1:19" x14ac:dyDescent="0.25">
      <c r="A1428" s="12">
        <v>44672</v>
      </c>
      <c r="B1428" s="14" t="s">
        <v>1441</v>
      </c>
      <c r="C1428" s="1">
        <v>13</v>
      </c>
      <c r="D1428" s="1">
        <v>11</v>
      </c>
      <c r="E1428" s="1">
        <v>24</v>
      </c>
      <c r="F1428" s="1">
        <f t="shared" si="68"/>
        <v>36.75</v>
      </c>
      <c r="G1428" s="1">
        <v>38</v>
      </c>
      <c r="H1428" s="1">
        <f t="shared" si="69"/>
        <v>33.75</v>
      </c>
      <c r="I1428" s="1">
        <v>46</v>
      </c>
      <c r="J1428" s="1">
        <f t="shared" si="70"/>
        <v>44</v>
      </c>
      <c r="K1428" s="1">
        <v>2</v>
      </c>
      <c r="L1428" s="1">
        <v>9</v>
      </c>
      <c r="M1428" s="1">
        <v>11</v>
      </c>
      <c r="P1428" s="2" t="s">
        <v>551</v>
      </c>
      <c r="Q1428" s="2" t="s">
        <v>551</v>
      </c>
      <c r="R1428" s="2" t="s">
        <v>551</v>
      </c>
      <c r="S1428" s="1">
        <v>16</v>
      </c>
    </row>
    <row r="1429" spans="1:19" x14ac:dyDescent="0.25">
      <c r="A1429" s="12">
        <v>44679</v>
      </c>
      <c r="B1429" s="14" t="s">
        <v>1442</v>
      </c>
      <c r="C1429" s="1">
        <v>11</v>
      </c>
      <c r="D1429" s="1">
        <v>14</v>
      </c>
      <c r="E1429" s="1">
        <v>25</v>
      </c>
      <c r="F1429" s="1">
        <f t="shared" si="68"/>
        <v>29</v>
      </c>
      <c r="G1429" s="1">
        <v>36</v>
      </c>
      <c r="H1429" s="1">
        <f t="shared" si="69"/>
        <v>32.75</v>
      </c>
      <c r="I1429" s="1">
        <v>39</v>
      </c>
      <c r="J1429" s="1">
        <f t="shared" si="70"/>
        <v>50.25</v>
      </c>
      <c r="K1429" s="1">
        <v>3</v>
      </c>
      <c r="L1429" s="1">
        <v>6</v>
      </c>
      <c r="M1429" s="1">
        <v>9</v>
      </c>
      <c r="P1429" s="2" t="s">
        <v>551</v>
      </c>
      <c r="Q1429" s="2" t="s">
        <v>551</v>
      </c>
      <c r="R1429" s="2" t="s">
        <v>551</v>
      </c>
      <c r="S1429" s="1">
        <v>17</v>
      </c>
    </row>
    <row r="1430" spans="1:19" x14ac:dyDescent="0.25">
      <c r="A1430" s="12">
        <v>44686</v>
      </c>
      <c r="B1430" s="14" t="s">
        <v>1443</v>
      </c>
      <c r="C1430" s="1">
        <v>12</v>
      </c>
      <c r="D1430" s="1">
        <v>8</v>
      </c>
      <c r="E1430" s="1">
        <v>20</v>
      </c>
      <c r="F1430" s="1">
        <f t="shared" si="68"/>
        <v>29.25</v>
      </c>
      <c r="G1430" s="1">
        <v>27</v>
      </c>
      <c r="H1430" s="1">
        <f t="shared" si="69"/>
        <v>32.25</v>
      </c>
      <c r="I1430" s="1">
        <v>47</v>
      </c>
      <c r="J1430" s="1">
        <f t="shared" si="70"/>
        <v>49</v>
      </c>
      <c r="K1430" s="1">
        <v>3</v>
      </c>
      <c r="L1430" s="1">
        <v>8</v>
      </c>
      <c r="M1430" s="1">
        <v>11</v>
      </c>
      <c r="P1430" s="2" t="s">
        <v>551</v>
      </c>
      <c r="Q1430" s="2" t="s">
        <v>551</v>
      </c>
      <c r="R1430" s="2" t="s">
        <v>551</v>
      </c>
      <c r="S1430" s="1">
        <v>18</v>
      </c>
    </row>
    <row r="1431" spans="1:19" x14ac:dyDescent="0.25">
      <c r="A1431" s="12">
        <v>44693</v>
      </c>
      <c r="B1431" s="14" t="s">
        <v>1444</v>
      </c>
      <c r="C1431" s="1">
        <v>9</v>
      </c>
      <c r="D1431" s="1">
        <v>10</v>
      </c>
      <c r="E1431" s="1">
        <v>19</v>
      </c>
      <c r="F1431" s="1">
        <f t="shared" si="68"/>
        <v>29.75</v>
      </c>
      <c r="G1431" s="1">
        <v>32</v>
      </c>
      <c r="H1431" s="1">
        <f t="shared" si="69"/>
        <v>31</v>
      </c>
      <c r="I1431" s="1">
        <v>50</v>
      </c>
      <c r="J1431" s="1">
        <f t="shared" si="70"/>
        <v>49.75</v>
      </c>
      <c r="K1431" s="1">
        <v>2</v>
      </c>
      <c r="L1431" s="1">
        <v>5</v>
      </c>
      <c r="M1431" s="1">
        <v>7</v>
      </c>
      <c r="P1431" s="2" t="s">
        <v>551</v>
      </c>
      <c r="Q1431" s="2" t="s">
        <v>551</v>
      </c>
      <c r="R1431" s="2" t="s">
        <v>551</v>
      </c>
      <c r="S1431" s="1">
        <v>19</v>
      </c>
    </row>
    <row r="1432" spans="1:19" x14ac:dyDescent="0.25">
      <c r="A1432" s="12">
        <v>44700</v>
      </c>
      <c r="B1432" s="14" t="s">
        <v>1445</v>
      </c>
      <c r="C1432" s="1">
        <v>9</v>
      </c>
      <c r="D1432" s="1">
        <v>8</v>
      </c>
      <c r="E1432" s="1">
        <v>17</v>
      </c>
      <c r="F1432" s="1">
        <f t="shared" si="68"/>
        <v>35.75</v>
      </c>
      <c r="G1432" s="1">
        <v>31</v>
      </c>
      <c r="H1432" s="1">
        <f t="shared" si="69"/>
        <v>32.5</v>
      </c>
      <c r="I1432" s="1">
        <v>45</v>
      </c>
      <c r="J1432" s="1">
        <f t="shared" si="70"/>
        <v>39</v>
      </c>
      <c r="K1432" s="1">
        <v>2</v>
      </c>
      <c r="L1432" s="1">
        <v>6</v>
      </c>
      <c r="M1432" s="1">
        <v>8</v>
      </c>
      <c r="P1432" s="2" t="s">
        <v>551</v>
      </c>
      <c r="Q1432" s="2" t="s">
        <v>551</v>
      </c>
      <c r="R1432" s="2" t="s">
        <v>551</v>
      </c>
      <c r="S1432" s="1">
        <v>20</v>
      </c>
    </row>
    <row r="1433" spans="1:19" x14ac:dyDescent="0.25">
      <c r="A1433" s="12">
        <v>44707</v>
      </c>
      <c r="B1433" s="14" t="s">
        <v>1446</v>
      </c>
      <c r="C1433" s="1">
        <v>8</v>
      </c>
      <c r="D1433" s="1">
        <v>19</v>
      </c>
      <c r="E1433" s="1">
        <v>27</v>
      </c>
      <c r="F1433" s="1">
        <f t="shared" si="68"/>
        <v>30</v>
      </c>
      <c r="G1433" s="1">
        <v>26</v>
      </c>
      <c r="H1433" s="1">
        <f t="shared" si="69"/>
        <v>31.5</v>
      </c>
      <c r="I1433" s="1">
        <v>36</v>
      </c>
      <c r="J1433" s="1">
        <f t="shared" si="70"/>
        <v>44.75</v>
      </c>
      <c r="K1433" s="1">
        <v>2</v>
      </c>
      <c r="L1433" s="1">
        <v>6</v>
      </c>
      <c r="M1433" s="1">
        <v>8</v>
      </c>
      <c r="P1433" s="2" t="s">
        <v>551</v>
      </c>
      <c r="Q1433" s="2" t="s">
        <v>551</v>
      </c>
      <c r="R1433" s="2" t="s">
        <v>551</v>
      </c>
      <c r="S1433" s="1">
        <v>21</v>
      </c>
    </row>
    <row r="1434" spans="1:19" x14ac:dyDescent="0.25">
      <c r="A1434" s="12">
        <v>44714</v>
      </c>
      <c r="B1434" s="14" t="s">
        <v>1447</v>
      </c>
      <c r="C1434" s="1">
        <v>13</v>
      </c>
      <c r="D1434" s="1">
        <v>11</v>
      </c>
      <c r="E1434" s="1">
        <v>24</v>
      </c>
      <c r="F1434" s="1">
        <f t="shared" si="68"/>
        <v>32.5</v>
      </c>
      <c r="G1434" s="1">
        <v>25</v>
      </c>
      <c r="H1434" s="1">
        <f t="shared" si="69"/>
        <v>32</v>
      </c>
      <c r="I1434" s="1">
        <v>35</v>
      </c>
      <c r="J1434" s="1">
        <f t="shared" si="70"/>
        <v>46</v>
      </c>
      <c r="K1434" s="1">
        <v>2</v>
      </c>
      <c r="L1434" s="1">
        <v>7</v>
      </c>
      <c r="M1434" s="1">
        <v>9</v>
      </c>
      <c r="P1434" s="2" t="s">
        <v>551</v>
      </c>
      <c r="Q1434" s="2" t="s">
        <v>551</v>
      </c>
      <c r="R1434" s="2" t="s">
        <v>551</v>
      </c>
      <c r="S1434" s="1">
        <v>22</v>
      </c>
    </row>
    <row r="1435" spans="1:19" x14ac:dyDescent="0.25">
      <c r="A1435" s="12">
        <v>44721</v>
      </c>
      <c r="B1435" s="14" t="s">
        <v>1448</v>
      </c>
      <c r="C1435" s="1">
        <v>10</v>
      </c>
      <c r="D1435" s="1">
        <v>8</v>
      </c>
      <c r="E1435" s="1">
        <v>18</v>
      </c>
      <c r="F1435" s="1">
        <f t="shared" si="68"/>
        <v>32</v>
      </c>
      <c r="G1435" s="1">
        <v>32</v>
      </c>
      <c r="H1435" s="1">
        <f t="shared" si="69"/>
        <v>28.75</v>
      </c>
      <c r="I1435" s="1">
        <v>38</v>
      </c>
      <c r="J1435" s="1">
        <f t="shared" si="70"/>
        <v>45.25</v>
      </c>
      <c r="K1435" s="1">
        <v>3</v>
      </c>
      <c r="L1435" s="1">
        <v>7</v>
      </c>
      <c r="M1435" s="1">
        <v>10</v>
      </c>
      <c r="P1435" s="2" t="s">
        <v>551</v>
      </c>
      <c r="Q1435" s="2" t="s">
        <v>551</v>
      </c>
      <c r="R1435" s="2" t="s">
        <v>551</v>
      </c>
      <c r="S1435" s="1">
        <v>23</v>
      </c>
    </row>
    <row r="1436" spans="1:19" x14ac:dyDescent="0.25">
      <c r="A1436" s="12">
        <v>44728</v>
      </c>
      <c r="B1436" s="14" t="s">
        <v>1449</v>
      </c>
      <c r="C1436" s="1">
        <v>10</v>
      </c>
      <c r="D1436" s="1">
        <v>7</v>
      </c>
      <c r="E1436" s="1">
        <v>17</v>
      </c>
      <c r="F1436" s="1">
        <f t="shared" si="68"/>
        <v>31.5</v>
      </c>
      <c r="G1436" s="1">
        <v>24</v>
      </c>
      <c r="H1436" s="1">
        <f t="shared" si="69"/>
        <v>30</v>
      </c>
      <c r="I1436" s="1">
        <v>38</v>
      </c>
      <c r="J1436" s="1">
        <f t="shared" si="70"/>
        <v>38.5</v>
      </c>
      <c r="K1436" s="1">
        <v>2</v>
      </c>
      <c r="L1436" s="1">
        <v>11</v>
      </c>
      <c r="M1436" s="1">
        <v>13</v>
      </c>
      <c r="P1436" s="2" t="s">
        <v>551</v>
      </c>
      <c r="Q1436" s="2" t="s">
        <v>551</v>
      </c>
      <c r="R1436" s="2" t="s">
        <v>551</v>
      </c>
      <c r="S1436" s="1">
        <v>24</v>
      </c>
    </row>
    <row r="1437" spans="1:19" x14ac:dyDescent="0.25">
      <c r="A1437" s="12">
        <v>44735</v>
      </c>
      <c r="B1437" s="14" t="s">
        <v>1450</v>
      </c>
      <c r="C1437" s="1">
        <v>7</v>
      </c>
      <c r="D1437" s="1">
        <v>9</v>
      </c>
      <c r="E1437" s="1">
        <v>16</v>
      </c>
      <c r="F1437" s="1">
        <f t="shared" si="68"/>
        <v>33.25</v>
      </c>
      <c r="G1437" s="1">
        <v>26</v>
      </c>
      <c r="H1437" s="1">
        <f t="shared" si="69"/>
        <v>26</v>
      </c>
      <c r="I1437" s="1">
        <v>34</v>
      </c>
      <c r="J1437" s="1">
        <f t="shared" si="70"/>
        <v>40.5</v>
      </c>
      <c r="K1437" s="1">
        <v>3</v>
      </c>
      <c r="L1437" s="1">
        <v>3</v>
      </c>
      <c r="M1437" s="1">
        <v>6</v>
      </c>
      <c r="P1437" s="2" t="s">
        <v>551</v>
      </c>
      <c r="Q1437" s="2" t="s">
        <v>551</v>
      </c>
      <c r="R1437" s="2" t="s">
        <v>551</v>
      </c>
      <c r="S1437" s="1">
        <v>25</v>
      </c>
    </row>
    <row r="1438" spans="1:19" x14ac:dyDescent="0.25">
      <c r="A1438" s="12">
        <v>44742</v>
      </c>
      <c r="B1438" s="14" t="s">
        <v>1451</v>
      </c>
      <c r="C1438" s="1">
        <v>5</v>
      </c>
      <c r="D1438" s="1">
        <v>10</v>
      </c>
      <c r="E1438" s="1">
        <v>15</v>
      </c>
      <c r="F1438" s="1">
        <f t="shared" si="68"/>
        <v>33.5</v>
      </c>
      <c r="G1438" s="1">
        <v>21</v>
      </c>
      <c r="H1438" s="1">
        <f t="shared" si="69"/>
        <v>27.25</v>
      </c>
      <c r="I1438" s="1">
        <v>41</v>
      </c>
      <c r="J1438" s="1">
        <f t="shared" si="70"/>
        <v>43.75</v>
      </c>
      <c r="K1438" s="1">
        <v>3</v>
      </c>
      <c r="L1438" s="1">
        <v>2</v>
      </c>
      <c r="M1438" s="1">
        <v>5</v>
      </c>
      <c r="P1438" s="2" t="s">
        <v>551</v>
      </c>
      <c r="Q1438" s="2" t="s">
        <v>551</v>
      </c>
      <c r="R1438" s="2" t="s">
        <v>551</v>
      </c>
      <c r="S1438" s="1">
        <v>26</v>
      </c>
    </row>
    <row r="1439" spans="1:19" x14ac:dyDescent="0.25">
      <c r="A1439" s="12">
        <v>44749</v>
      </c>
      <c r="B1439" s="14" t="s">
        <v>1452</v>
      </c>
      <c r="C1439" s="1">
        <v>8</v>
      </c>
      <c r="D1439" s="1">
        <v>14</v>
      </c>
      <c r="E1439" s="1">
        <v>22</v>
      </c>
      <c r="F1439" s="1">
        <f t="shared" si="68"/>
        <v>31</v>
      </c>
      <c r="G1439" s="1">
        <v>18</v>
      </c>
      <c r="H1439" s="1">
        <f t="shared" si="69"/>
        <v>26.25</v>
      </c>
      <c r="I1439" s="1">
        <v>35</v>
      </c>
      <c r="J1439" s="1">
        <f t="shared" si="70"/>
        <v>42</v>
      </c>
      <c r="K1439" s="1">
        <v>2</v>
      </c>
      <c r="L1439" s="1">
        <v>6</v>
      </c>
      <c r="M1439" s="1">
        <v>8</v>
      </c>
      <c r="P1439" s="2" t="s">
        <v>551</v>
      </c>
      <c r="Q1439" s="2" t="s">
        <v>551</v>
      </c>
      <c r="R1439" s="2" t="s">
        <v>551</v>
      </c>
      <c r="S1439" s="1">
        <v>27</v>
      </c>
    </row>
    <row r="1440" spans="1:19" x14ac:dyDescent="0.25">
      <c r="A1440" s="12">
        <v>44756</v>
      </c>
      <c r="B1440" s="14" t="s">
        <v>1453</v>
      </c>
      <c r="C1440" s="1">
        <v>9</v>
      </c>
      <c r="D1440" s="1">
        <v>14</v>
      </c>
      <c r="E1440" s="1">
        <v>23</v>
      </c>
      <c r="F1440" s="1">
        <f t="shared" si="68"/>
        <v>32</v>
      </c>
      <c r="G1440" s="1">
        <v>25</v>
      </c>
      <c r="H1440" s="1">
        <f t="shared" si="69"/>
        <v>26.5</v>
      </c>
      <c r="I1440" s="1">
        <v>39</v>
      </c>
      <c r="J1440" s="1">
        <f t="shared" si="70"/>
        <v>49.25</v>
      </c>
      <c r="K1440" s="1">
        <v>1</v>
      </c>
      <c r="L1440" s="1">
        <v>8</v>
      </c>
      <c r="M1440" s="1">
        <v>9</v>
      </c>
      <c r="P1440" s="2" t="s">
        <v>551</v>
      </c>
      <c r="Q1440" s="2" t="s">
        <v>551</v>
      </c>
      <c r="R1440" s="2" t="s">
        <v>551</v>
      </c>
      <c r="S1440" s="1">
        <v>28</v>
      </c>
    </row>
    <row r="1441" spans="1:19" x14ac:dyDescent="0.25">
      <c r="A1441" s="12">
        <v>44763</v>
      </c>
      <c r="B1441" s="14" t="s">
        <v>1454</v>
      </c>
      <c r="C1441" s="1">
        <v>8</v>
      </c>
      <c r="D1441" s="1">
        <v>6</v>
      </c>
      <c r="E1441" s="1">
        <v>14</v>
      </c>
      <c r="F1441" s="1">
        <f t="shared" si="68"/>
        <v>31.5</v>
      </c>
      <c r="G1441" s="1">
        <v>26</v>
      </c>
      <c r="H1441" s="1">
        <f t="shared" si="69"/>
        <v>30</v>
      </c>
      <c r="I1441" s="1">
        <v>54</v>
      </c>
      <c r="J1441" s="1">
        <f t="shared" si="70"/>
        <v>46</v>
      </c>
      <c r="K1441" s="1">
        <v>3</v>
      </c>
      <c r="L1441" s="1">
        <v>5</v>
      </c>
      <c r="M1441" s="1">
        <v>8</v>
      </c>
      <c r="P1441" s="2" t="s">
        <v>551</v>
      </c>
      <c r="Q1441" s="2" t="s">
        <v>551</v>
      </c>
      <c r="R1441" s="2" t="s">
        <v>551</v>
      </c>
      <c r="S1441" s="1">
        <v>29</v>
      </c>
    </row>
    <row r="1442" spans="1:19" x14ac:dyDescent="0.25">
      <c r="A1442" s="12">
        <v>44770</v>
      </c>
      <c r="B1442" s="14" t="s">
        <v>1455</v>
      </c>
      <c r="C1442" s="1">
        <v>9</v>
      </c>
      <c r="D1442" s="1">
        <v>13</v>
      </c>
      <c r="E1442" s="1">
        <v>22</v>
      </c>
      <c r="F1442" s="1">
        <v>31</v>
      </c>
      <c r="G1442" s="1">
        <v>25</v>
      </c>
      <c r="H1442" s="1">
        <v>31</v>
      </c>
      <c r="I1442" s="1">
        <v>43</v>
      </c>
      <c r="J1442" s="1">
        <v>46</v>
      </c>
      <c r="K1442" s="1">
        <v>3</v>
      </c>
      <c r="L1442" s="1">
        <v>6</v>
      </c>
      <c r="M1442" s="1">
        <v>9</v>
      </c>
      <c r="P1442" s="2" t="s">
        <v>551</v>
      </c>
      <c r="Q1442" s="2" t="s">
        <v>551</v>
      </c>
      <c r="R1442" s="2" t="s">
        <v>551</v>
      </c>
      <c r="S1442" s="1">
        <v>30</v>
      </c>
    </row>
    <row r="1443" spans="1:19" x14ac:dyDescent="0.25">
      <c r="A1443" s="12">
        <v>44777</v>
      </c>
      <c r="B1443" s="14" t="s">
        <v>1456</v>
      </c>
      <c r="C1443" s="1">
        <v>11</v>
      </c>
      <c r="D1443" s="1">
        <v>13</v>
      </c>
      <c r="E1443" s="1">
        <v>24</v>
      </c>
      <c r="F1443" s="1">
        <v>31.75</v>
      </c>
      <c r="G1443" s="1">
        <v>32</v>
      </c>
      <c r="H1443" s="1">
        <v>31.25</v>
      </c>
      <c r="I1443" s="1">
        <v>32</v>
      </c>
      <c r="J1443" s="1">
        <v>47</v>
      </c>
      <c r="K1443" s="1">
        <v>3</v>
      </c>
      <c r="L1443" s="1">
        <v>4</v>
      </c>
      <c r="M1443" s="1">
        <v>7</v>
      </c>
      <c r="P1443" s="2" t="s">
        <v>551</v>
      </c>
      <c r="Q1443" s="2" t="s">
        <v>551</v>
      </c>
      <c r="R1443" s="2" t="s">
        <v>551</v>
      </c>
      <c r="S1443" s="1">
        <v>31</v>
      </c>
    </row>
    <row r="1444" spans="1:19" x14ac:dyDescent="0.25">
      <c r="A1444" s="12">
        <v>44784</v>
      </c>
      <c r="B1444" s="14" t="s">
        <v>1457</v>
      </c>
      <c r="C1444" s="1">
        <v>9</v>
      </c>
      <c r="D1444" s="1">
        <v>15</v>
      </c>
      <c r="E1444" s="1">
        <v>24</v>
      </c>
      <c r="F1444" s="1">
        <v>32</v>
      </c>
      <c r="G1444" s="1">
        <v>24</v>
      </c>
      <c r="H1444" s="1">
        <v>34.25</v>
      </c>
      <c r="I1444" s="1">
        <v>35</v>
      </c>
      <c r="J1444" s="1">
        <v>43.5</v>
      </c>
      <c r="K1444" s="1">
        <v>3</v>
      </c>
      <c r="L1444" s="1">
        <v>6</v>
      </c>
      <c r="M1444" s="1">
        <v>9</v>
      </c>
      <c r="P1444" s="2" t="s">
        <v>551</v>
      </c>
      <c r="Q1444" s="2" t="s">
        <v>551</v>
      </c>
      <c r="R1444" s="2" t="s">
        <v>551</v>
      </c>
      <c r="S1444" s="1">
        <v>32</v>
      </c>
    </row>
    <row r="1445" spans="1:19" x14ac:dyDescent="0.25">
      <c r="A1445" s="12">
        <v>44791</v>
      </c>
      <c r="B1445" s="14" t="s">
        <v>1458</v>
      </c>
      <c r="C1445" s="1">
        <v>9</v>
      </c>
      <c r="D1445" s="1">
        <v>12</v>
      </c>
      <c r="E1445" s="1">
        <v>21</v>
      </c>
      <c r="F1445" s="1">
        <v>31.25</v>
      </c>
      <c r="G1445" s="1">
        <v>26</v>
      </c>
      <c r="H1445" s="1">
        <v>31</v>
      </c>
      <c r="I1445" s="1">
        <v>32</v>
      </c>
      <c r="J1445" s="1">
        <v>40.75</v>
      </c>
      <c r="K1445" s="1">
        <v>2</v>
      </c>
      <c r="L1445" s="1">
        <v>11</v>
      </c>
      <c r="M1445" s="1">
        <v>13</v>
      </c>
      <c r="P1445" s="2" t="s">
        <v>551</v>
      </c>
      <c r="Q1445" s="2" t="s">
        <v>551</v>
      </c>
      <c r="R1445" s="2" t="s">
        <v>551</v>
      </c>
      <c r="S1445" s="1">
        <v>33</v>
      </c>
    </row>
    <row r="1446" spans="1:19" x14ac:dyDescent="0.25">
      <c r="A1446" s="12">
        <v>44798</v>
      </c>
      <c r="B1446" s="14" t="s">
        <v>1459</v>
      </c>
      <c r="C1446" s="1">
        <v>9</v>
      </c>
      <c r="D1446" s="1">
        <v>13</v>
      </c>
      <c r="E1446" s="1">
        <v>22</v>
      </c>
      <c r="F1446" s="1">
        <v>28</v>
      </c>
      <c r="G1446" s="1">
        <v>19</v>
      </c>
      <c r="H1446" s="1">
        <v>29</v>
      </c>
      <c r="I1446" s="1">
        <v>28</v>
      </c>
      <c r="J1446" s="1">
        <v>47.25</v>
      </c>
      <c r="K1446" s="1">
        <v>4</v>
      </c>
      <c r="L1446" s="1">
        <v>8</v>
      </c>
      <c r="M1446" s="1">
        <v>12</v>
      </c>
      <c r="P1446" s="2" t="s">
        <v>551</v>
      </c>
      <c r="Q1446" s="2" t="s">
        <v>551</v>
      </c>
      <c r="R1446" s="2" t="s">
        <v>551</v>
      </c>
      <c r="S1446" s="1">
        <v>34</v>
      </c>
    </row>
    <row r="1447" spans="1:19" x14ac:dyDescent="0.25">
      <c r="A1447" s="12">
        <v>44805</v>
      </c>
      <c r="B1447" s="14" t="s">
        <v>1460</v>
      </c>
      <c r="C1447" s="1">
        <v>10</v>
      </c>
      <c r="D1447" s="1">
        <v>9</v>
      </c>
      <c r="E1447" s="1">
        <v>19</v>
      </c>
      <c r="F1447" s="1">
        <v>26.25</v>
      </c>
      <c r="G1447" s="1">
        <v>22</v>
      </c>
      <c r="H1447" s="1">
        <v>25.75</v>
      </c>
      <c r="I1447" s="1">
        <v>33</v>
      </c>
      <c r="J1447" s="1">
        <v>43</v>
      </c>
      <c r="K1447" s="1">
        <v>4</v>
      </c>
      <c r="L1447" s="1">
        <v>7</v>
      </c>
      <c r="M1447" s="1">
        <v>11</v>
      </c>
      <c r="P1447" s="2" t="s">
        <v>551</v>
      </c>
      <c r="Q1447" s="2" t="s">
        <v>551</v>
      </c>
      <c r="R1447" s="2" t="s">
        <v>551</v>
      </c>
      <c r="S1447" s="1">
        <v>35</v>
      </c>
    </row>
    <row r="1448" spans="1:19" x14ac:dyDescent="0.25">
      <c r="A1448" s="12">
        <v>44812</v>
      </c>
      <c r="B1448" s="14" t="s">
        <v>1461</v>
      </c>
      <c r="C1448" s="1">
        <v>8</v>
      </c>
      <c r="D1448" s="1">
        <v>14</v>
      </c>
      <c r="E1448" s="1">
        <v>22</v>
      </c>
      <c r="F1448" s="1">
        <v>30.25</v>
      </c>
      <c r="G1448" s="1">
        <v>18</v>
      </c>
      <c r="H1448" s="1">
        <v>28</v>
      </c>
      <c r="I1448" s="1">
        <v>37</v>
      </c>
      <c r="J1448" s="1">
        <v>47.75</v>
      </c>
      <c r="K1448" s="1">
        <v>3</v>
      </c>
      <c r="L1448" s="1">
        <v>8</v>
      </c>
      <c r="M1448" s="1">
        <v>11</v>
      </c>
      <c r="P1448" s="2" t="s">
        <v>551</v>
      </c>
      <c r="Q1448" s="2" t="s">
        <v>551</v>
      </c>
      <c r="R1448" s="2" t="s">
        <v>551</v>
      </c>
      <c r="S1448" s="1">
        <v>36</v>
      </c>
    </row>
    <row r="1449" spans="1:19" x14ac:dyDescent="0.25">
      <c r="A1449" s="12">
        <v>44819</v>
      </c>
      <c r="B1449" s="14" t="s">
        <v>1462</v>
      </c>
      <c r="C1449" s="1">
        <v>8</v>
      </c>
      <c r="D1449" s="1">
        <v>24</v>
      </c>
      <c r="E1449" s="1">
        <v>32</v>
      </c>
      <c r="F1449" s="1">
        <v>33.5</v>
      </c>
      <c r="G1449" s="1">
        <v>22</v>
      </c>
      <c r="H1449" s="1">
        <v>24</v>
      </c>
      <c r="I1449" s="1">
        <v>38</v>
      </c>
      <c r="J1449" s="1">
        <v>49</v>
      </c>
      <c r="K1449" s="1">
        <v>3</v>
      </c>
      <c r="L1449" s="1">
        <v>8</v>
      </c>
      <c r="M1449" s="1">
        <v>11</v>
      </c>
      <c r="P1449" s="2" t="s">
        <v>551</v>
      </c>
      <c r="Q1449" s="2" t="s">
        <v>551</v>
      </c>
      <c r="R1449" s="2" t="s">
        <v>551</v>
      </c>
      <c r="S1449" s="1">
        <v>37</v>
      </c>
    </row>
    <row r="1450" spans="1:19" x14ac:dyDescent="0.25">
      <c r="A1450" s="12">
        <v>44826</v>
      </c>
      <c r="B1450" s="14" t="s">
        <v>1463</v>
      </c>
      <c r="C1450" s="1">
        <v>10</v>
      </c>
      <c r="D1450" s="1">
        <v>27</v>
      </c>
      <c r="E1450" s="1">
        <v>37</v>
      </c>
      <c r="F1450" s="1">
        <v>48.25</v>
      </c>
      <c r="G1450" s="1">
        <v>21</v>
      </c>
      <c r="H1450" s="1">
        <v>26</v>
      </c>
      <c r="I1450" s="1">
        <v>37</v>
      </c>
      <c r="J1450" s="1">
        <v>54</v>
      </c>
      <c r="K1450" s="1">
        <v>3</v>
      </c>
      <c r="L1450" s="1">
        <v>7</v>
      </c>
      <c r="M1450" s="1">
        <v>10</v>
      </c>
      <c r="P1450" s="2" t="s">
        <v>551</v>
      </c>
      <c r="Q1450" s="2" t="s">
        <v>551</v>
      </c>
      <c r="R1450" s="2" t="s">
        <v>551</v>
      </c>
      <c r="S1450" s="1">
        <v>38</v>
      </c>
    </row>
    <row r="1451" spans="1:19" x14ac:dyDescent="0.25">
      <c r="A1451" s="12">
        <v>44833</v>
      </c>
      <c r="B1451" s="14" t="s">
        <v>1464</v>
      </c>
      <c r="C1451" s="1">
        <v>9</v>
      </c>
      <c r="D1451" s="1">
        <v>27</v>
      </c>
      <c r="E1451" s="1">
        <v>36</v>
      </c>
      <c r="F1451" s="1">
        <v>49</v>
      </c>
      <c r="G1451" s="1">
        <v>21</v>
      </c>
      <c r="H1451" s="1">
        <v>33.75</v>
      </c>
      <c r="I1451" s="1">
        <v>40</v>
      </c>
      <c r="J1451" s="1">
        <v>53.5</v>
      </c>
      <c r="K1451" s="1">
        <v>3</v>
      </c>
      <c r="L1451" s="1">
        <v>7</v>
      </c>
      <c r="M1451" s="1">
        <v>10</v>
      </c>
      <c r="P1451" s="2" t="s">
        <v>551</v>
      </c>
      <c r="Q1451" s="2" t="s">
        <v>551</v>
      </c>
      <c r="R1451" s="2" t="s">
        <v>551</v>
      </c>
      <c r="S1451" s="1">
        <v>39</v>
      </c>
    </row>
    <row r="1452" spans="1:19" x14ac:dyDescent="0.25">
      <c r="A1452" s="12">
        <v>44840</v>
      </c>
      <c r="B1452" s="14" t="s">
        <v>1465</v>
      </c>
      <c r="C1452" s="1">
        <v>8</v>
      </c>
      <c r="D1452" s="1">
        <v>27</v>
      </c>
      <c r="E1452" s="1">
        <v>35</v>
      </c>
      <c r="F1452" s="1">
        <v>42.5</v>
      </c>
      <c r="G1452" s="1">
        <v>23</v>
      </c>
      <c r="H1452" s="1">
        <v>36.5</v>
      </c>
      <c r="I1452" s="1">
        <v>49</v>
      </c>
      <c r="J1452" s="1">
        <v>54.75</v>
      </c>
      <c r="K1452" s="1">
        <v>6</v>
      </c>
      <c r="L1452" s="1">
        <v>11</v>
      </c>
      <c r="M1452" s="1">
        <v>17</v>
      </c>
      <c r="P1452" s="2" t="s">
        <v>551</v>
      </c>
      <c r="Q1452" s="2" t="s">
        <v>551</v>
      </c>
      <c r="R1452" s="2" t="s">
        <v>551</v>
      </c>
      <c r="S1452" s="1">
        <v>40</v>
      </c>
    </row>
    <row r="1453" spans="1:19" x14ac:dyDescent="0.25">
      <c r="A1453" s="12">
        <v>44847</v>
      </c>
      <c r="B1453" s="14" t="s">
        <v>1466</v>
      </c>
      <c r="C1453" s="1">
        <v>8</v>
      </c>
      <c r="D1453" s="1">
        <v>28</v>
      </c>
      <c r="E1453" s="1">
        <v>36</v>
      </c>
      <c r="F1453" s="1">
        <v>39.25</v>
      </c>
      <c r="G1453" s="1">
        <v>22</v>
      </c>
      <c r="H1453" s="1">
        <v>36.75</v>
      </c>
      <c r="I1453" s="1">
        <v>59</v>
      </c>
      <c r="J1453" s="1">
        <v>57.75</v>
      </c>
      <c r="K1453" s="1">
        <v>5</v>
      </c>
      <c r="L1453" s="1">
        <v>16</v>
      </c>
      <c r="M1453" s="1">
        <v>21</v>
      </c>
      <c r="P1453" s="2" t="s">
        <v>551</v>
      </c>
      <c r="Q1453" s="2" t="s">
        <v>551</v>
      </c>
      <c r="R1453" s="2" t="s">
        <v>551</v>
      </c>
      <c r="S1453" s="1">
        <v>41</v>
      </c>
    </row>
    <row r="1454" spans="1:19" x14ac:dyDescent="0.25">
      <c r="A1454" s="12">
        <v>44854</v>
      </c>
      <c r="B1454" s="14" t="s">
        <v>1467</v>
      </c>
      <c r="C1454" s="1">
        <v>11</v>
      </c>
      <c r="D1454" s="1">
        <v>29</v>
      </c>
      <c r="E1454" s="1">
        <v>40</v>
      </c>
      <c r="F1454" s="1">
        <v>43.25</v>
      </c>
      <c r="G1454" s="1">
        <v>28</v>
      </c>
      <c r="H1454" s="1">
        <v>36.25</v>
      </c>
      <c r="I1454" s="1">
        <v>37</v>
      </c>
      <c r="J1454" s="1">
        <v>51.5</v>
      </c>
      <c r="K1454" s="1">
        <v>6</v>
      </c>
      <c r="L1454" s="1">
        <v>14</v>
      </c>
      <c r="M1454" s="1">
        <v>20</v>
      </c>
      <c r="P1454" s="2" t="s">
        <v>551</v>
      </c>
      <c r="Q1454" s="2" t="s">
        <v>551</v>
      </c>
      <c r="R1454" s="2" t="s">
        <v>551</v>
      </c>
      <c r="S1454" s="1">
        <v>42</v>
      </c>
    </row>
    <row r="1455" spans="1:19" x14ac:dyDescent="0.25">
      <c r="A1455" s="12">
        <v>44861</v>
      </c>
      <c r="B1455" s="14" t="s">
        <v>1468</v>
      </c>
      <c r="C1455" s="1">
        <v>8</v>
      </c>
      <c r="D1455" s="1">
        <v>38</v>
      </c>
      <c r="E1455" s="1">
        <v>46</v>
      </c>
      <c r="F1455" s="1">
        <v>44.25</v>
      </c>
      <c r="G1455" s="1">
        <v>25</v>
      </c>
      <c r="H1455" s="1">
        <v>32.75</v>
      </c>
      <c r="I1455" s="1">
        <v>34</v>
      </c>
      <c r="J1455" s="1">
        <v>55.75</v>
      </c>
      <c r="K1455" s="1">
        <v>5</v>
      </c>
      <c r="L1455" s="1">
        <v>11</v>
      </c>
      <c r="M1455" s="1">
        <v>16</v>
      </c>
      <c r="P1455" s="2" t="s">
        <v>551</v>
      </c>
      <c r="Q1455" s="2" t="s">
        <v>551</v>
      </c>
      <c r="R1455" s="2" t="s">
        <v>551</v>
      </c>
      <c r="S1455" s="1">
        <v>43</v>
      </c>
    </row>
    <row r="1456" spans="1:19" x14ac:dyDescent="0.25">
      <c r="A1456" s="12">
        <v>44868</v>
      </c>
      <c r="B1456" s="14" t="s">
        <v>1469</v>
      </c>
      <c r="C1456" s="1">
        <v>10</v>
      </c>
      <c r="D1456" s="1">
        <v>23</v>
      </c>
      <c r="E1456" s="1">
        <v>33</v>
      </c>
      <c r="F1456" s="1">
        <v>44.5</v>
      </c>
      <c r="G1456" s="1">
        <v>24</v>
      </c>
      <c r="H1456" s="1">
        <v>36.75</v>
      </c>
      <c r="I1456" s="1">
        <v>42</v>
      </c>
      <c r="J1456" s="1">
        <v>54.5</v>
      </c>
      <c r="K1456" s="1">
        <v>6</v>
      </c>
      <c r="L1456" s="1">
        <v>11</v>
      </c>
      <c r="M1456" s="1">
        <v>17</v>
      </c>
      <c r="P1456" s="2" t="s">
        <v>551</v>
      </c>
      <c r="Q1456" s="2" t="s">
        <v>551</v>
      </c>
      <c r="R1456" s="2" t="s">
        <v>551</v>
      </c>
      <c r="S1456" s="1">
        <v>44</v>
      </c>
    </row>
    <row r="1457" spans="1:19" x14ac:dyDescent="0.25">
      <c r="A1457" s="12">
        <v>44875</v>
      </c>
      <c r="B1457" s="14" t="s">
        <v>1470</v>
      </c>
      <c r="C1457" s="1">
        <v>10</v>
      </c>
      <c r="D1457" s="1">
        <v>25</v>
      </c>
      <c r="E1457" s="1">
        <v>35</v>
      </c>
      <c r="F1457" s="1">
        <v>42.75</v>
      </c>
      <c r="G1457" s="1">
        <v>23</v>
      </c>
      <c r="H1457" s="1">
        <v>36.75</v>
      </c>
      <c r="I1457" s="1">
        <v>46</v>
      </c>
      <c r="J1457" s="1">
        <v>59.25</v>
      </c>
      <c r="K1457" s="1">
        <v>4</v>
      </c>
      <c r="L1457" s="1">
        <v>14</v>
      </c>
      <c r="M1457" s="1">
        <v>18</v>
      </c>
      <c r="P1457" s="2" t="s">
        <v>551</v>
      </c>
      <c r="Q1457" s="2" t="s">
        <v>551</v>
      </c>
      <c r="R1457" s="2" t="s">
        <v>551</v>
      </c>
      <c r="S1457" s="1">
        <v>45</v>
      </c>
    </row>
    <row r="1458" spans="1:19" x14ac:dyDescent="0.25">
      <c r="A1458" s="12">
        <v>44882</v>
      </c>
      <c r="B1458" s="14" t="s">
        <v>1471</v>
      </c>
      <c r="C1458" s="1">
        <v>10</v>
      </c>
      <c r="D1458" s="1">
        <v>27</v>
      </c>
      <c r="E1458" s="1">
        <v>37</v>
      </c>
      <c r="F1458" s="1">
        <v>44.5</v>
      </c>
      <c r="G1458" s="1">
        <v>25</v>
      </c>
      <c r="H1458" s="1">
        <v>35.25</v>
      </c>
      <c r="I1458" s="1">
        <v>48</v>
      </c>
      <c r="J1458" s="1">
        <v>51.25</v>
      </c>
      <c r="K1458" s="1">
        <v>6</v>
      </c>
      <c r="L1458" s="1">
        <v>12</v>
      </c>
      <c r="M1458" s="1">
        <v>18</v>
      </c>
      <c r="P1458" s="2" t="s">
        <v>551</v>
      </c>
      <c r="Q1458" s="2" t="s">
        <v>551</v>
      </c>
      <c r="R1458" s="2" t="s">
        <v>551</v>
      </c>
      <c r="S1458" s="1">
        <v>46</v>
      </c>
    </row>
    <row r="1459" spans="1:19" x14ac:dyDescent="0.25">
      <c r="A1459" s="12">
        <v>44889</v>
      </c>
      <c r="B1459" s="14" t="s">
        <v>1472</v>
      </c>
      <c r="C1459" s="1">
        <v>11</v>
      </c>
      <c r="D1459" s="1">
        <v>30</v>
      </c>
      <c r="E1459" s="1">
        <v>41</v>
      </c>
      <c r="F1459" s="1">
        <v>34.5</v>
      </c>
      <c r="G1459" s="1">
        <v>26</v>
      </c>
      <c r="H1459" s="1">
        <v>34</v>
      </c>
      <c r="I1459" s="1">
        <v>39</v>
      </c>
      <c r="J1459" s="1">
        <v>48.25</v>
      </c>
      <c r="K1459" s="1">
        <v>6</v>
      </c>
      <c r="L1459" s="1">
        <v>13</v>
      </c>
      <c r="M1459" s="1">
        <v>19</v>
      </c>
      <c r="P1459" s="2" t="s">
        <v>551</v>
      </c>
      <c r="Q1459" s="2" t="s">
        <v>551</v>
      </c>
      <c r="R1459" s="2" t="s">
        <v>551</v>
      </c>
      <c r="S1459" s="1">
        <v>47</v>
      </c>
    </row>
    <row r="1460" spans="1:19" x14ac:dyDescent="0.25">
      <c r="A1460" s="12">
        <v>44896</v>
      </c>
      <c r="B1460" s="14" t="s">
        <v>1473</v>
      </c>
      <c r="C1460" s="1">
        <v>12</v>
      </c>
      <c r="D1460" s="1">
        <v>26</v>
      </c>
      <c r="E1460" s="1">
        <v>38</v>
      </c>
      <c r="F1460" s="1">
        <v>38.75</v>
      </c>
      <c r="G1460" s="1">
        <v>26</v>
      </c>
      <c r="H1460" s="1">
        <v>32.75</v>
      </c>
      <c r="I1460" s="1">
        <v>34</v>
      </c>
      <c r="J1460" s="1">
        <v>55.25</v>
      </c>
      <c r="K1460" s="1">
        <v>6</v>
      </c>
      <c r="L1460" s="1">
        <v>9</v>
      </c>
      <c r="M1460" s="1">
        <v>15</v>
      </c>
      <c r="P1460" s="2" t="s">
        <v>551</v>
      </c>
      <c r="Q1460" s="2" t="s">
        <v>551</v>
      </c>
      <c r="R1460" s="2" t="s">
        <v>551</v>
      </c>
      <c r="S1460" s="1">
        <v>48</v>
      </c>
    </row>
    <row r="1461" spans="1:19" x14ac:dyDescent="0.25">
      <c r="A1461" s="12">
        <v>44903</v>
      </c>
      <c r="B1461" s="14" t="s">
        <v>1474</v>
      </c>
      <c r="C1461" s="1">
        <v>11</v>
      </c>
      <c r="D1461" s="1">
        <v>19</v>
      </c>
      <c r="E1461" s="1">
        <v>30</v>
      </c>
      <c r="F1461" s="1">
        <v>35.75</v>
      </c>
      <c r="G1461" s="1">
        <v>28</v>
      </c>
      <c r="H1461" s="1">
        <v>35</v>
      </c>
      <c r="I1461" s="1">
        <v>51</v>
      </c>
      <c r="J1461" s="1">
        <v>60</v>
      </c>
      <c r="K1461" s="1">
        <v>4</v>
      </c>
      <c r="L1461" s="1">
        <v>12</v>
      </c>
      <c r="M1461" s="1">
        <v>16</v>
      </c>
      <c r="P1461" s="2" t="s">
        <v>551</v>
      </c>
      <c r="Q1461" s="2" t="s">
        <v>551</v>
      </c>
      <c r="R1461" s="2" t="s">
        <v>551</v>
      </c>
      <c r="S1461" s="1">
        <v>49</v>
      </c>
    </row>
    <row r="1462" spans="1:19" x14ac:dyDescent="0.25">
      <c r="A1462" s="12">
        <v>44910</v>
      </c>
      <c r="B1462" s="14" t="s">
        <v>1475</v>
      </c>
      <c r="C1462" s="1">
        <v>14</v>
      </c>
      <c r="D1462" s="1">
        <v>21</v>
      </c>
      <c r="E1462" s="1">
        <v>35</v>
      </c>
      <c r="F1462" s="1">
        <v>41</v>
      </c>
      <c r="G1462" s="1">
        <v>30</v>
      </c>
      <c r="H1462" s="1">
        <v>33.25</v>
      </c>
      <c r="I1462" s="1">
        <v>53</v>
      </c>
      <c r="J1462" s="1">
        <v>52.25</v>
      </c>
      <c r="K1462" s="1">
        <v>4</v>
      </c>
      <c r="L1462" s="1">
        <v>8</v>
      </c>
      <c r="M1462" s="1">
        <v>12</v>
      </c>
      <c r="P1462" s="2" t="s">
        <v>551</v>
      </c>
      <c r="Q1462" s="2" t="s">
        <v>551</v>
      </c>
      <c r="R1462" s="2" t="s">
        <v>551</v>
      </c>
      <c r="S1462" s="1">
        <v>50</v>
      </c>
    </row>
    <row r="1463" spans="1:19" x14ac:dyDescent="0.25">
      <c r="A1463" s="12">
        <v>44917</v>
      </c>
      <c r="B1463" s="14" t="s">
        <v>1476</v>
      </c>
      <c r="C1463" s="1">
        <v>9</v>
      </c>
      <c r="D1463" s="1">
        <v>24</v>
      </c>
      <c r="E1463" s="1">
        <v>33</v>
      </c>
      <c r="F1463" s="1">
        <v>39.25</v>
      </c>
      <c r="G1463" s="1">
        <v>31</v>
      </c>
      <c r="H1463" s="1">
        <v>33.25</v>
      </c>
      <c r="I1463" s="1">
        <v>38</v>
      </c>
      <c r="J1463" s="1">
        <v>51.25</v>
      </c>
      <c r="K1463" s="1">
        <v>5</v>
      </c>
      <c r="L1463" s="1">
        <v>2</v>
      </c>
      <c r="M1463" s="1">
        <v>7</v>
      </c>
      <c r="P1463" s="2" t="s">
        <v>551</v>
      </c>
      <c r="Q1463" s="2" t="s">
        <v>551</v>
      </c>
      <c r="R1463" s="2" t="s">
        <v>551</v>
      </c>
      <c r="S1463" s="1">
        <v>51</v>
      </c>
    </row>
    <row r="1464" spans="1:19" x14ac:dyDescent="0.25">
      <c r="A1464" s="12">
        <v>44924</v>
      </c>
      <c r="B1464" s="14" t="s">
        <v>1477</v>
      </c>
      <c r="C1464" s="1">
        <v>10</v>
      </c>
      <c r="D1464" s="1">
        <v>17</v>
      </c>
      <c r="E1464" s="1">
        <v>27</v>
      </c>
      <c r="F1464" s="1">
        <v>36.25</v>
      </c>
      <c r="G1464" s="1">
        <v>26</v>
      </c>
      <c r="H1464" s="1">
        <v>31</v>
      </c>
      <c r="I1464" s="1">
        <v>44</v>
      </c>
      <c r="J1464" s="1">
        <v>55</v>
      </c>
      <c r="K1464" s="1">
        <v>4</v>
      </c>
      <c r="L1464" s="1">
        <v>8</v>
      </c>
      <c r="M1464" s="1">
        <v>12</v>
      </c>
      <c r="P1464" s="2" t="s">
        <v>551</v>
      </c>
      <c r="Q1464" s="2" t="s">
        <v>551</v>
      </c>
      <c r="R1464" s="2" t="s">
        <v>551</v>
      </c>
      <c r="S1464" s="1">
        <v>52</v>
      </c>
    </row>
    <row r="1465" spans="1:19" x14ac:dyDescent="0.25">
      <c r="A1465" s="12">
        <v>44931</v>
      </c>
      <c r="B1465" s="14" t="s">
        <v>1478</v>
      </c>
      <c r="C1465" s="1">
        <v>9</v>
      </c>
      <c r="D1465" s="1">
        <v>17</v>
      </c>
      <c r="E1465" s="1">
        <v>26</v>
      </c>
      <c r="F1465" s="1">
        <v>39.75</v>
      </c>
      <c r="G1465" s="1">
        <v>21</v>
      </c>
      <c r="H1465" s="1">
        <v>35</v>
      </c>
      <c r="I1465" s="1">
        <v>53</v>
      </c>
      <c r="J1465" s="1">
        <v>59.75</v>
      </c>
      <c r="K1465" s="1">
        <v>4</v>
      </c>
      <c r="L1465" s="1">
        <v>12</v>
      </c>
      <c r="M1465" s="1">
        <v>16</v>
      </c>
      <c r="P1465" s="2" t="s">
        <v>551</v>
      </c>
      <c r="Q1465" s="2" t="s">
        <v>551</v>
      </c>
      <c r="R1465" s="2" t="s">
        <v>551</v>
      </c>
      <c r="S1465" s="1">
        <v>1</v>
      </c>
    </row>
    <row r="1466" spans="1:19" x14ac:dyDescent="0.25">
      <c r="A1466" s="12">
        <v>44938</v>
      </c>
      <c r="B1466" s="14" t="s">
        <v>1479</v>
      </c>
      <c r="C1466" s="1">
        <v>11</v>
      </c>
      <c r="D1466" s="1">
        <v>18</v>
      </c>
      <c r="E1466" s="1">
        <v>29</v>
      </c>
      <c r="F1466" s="40">
        <v>44</v>
      </c>
      <c r="G1466" s="1">
        <v>31</v>
      </c>
      <c r="H1466" s="1">
        <v>35.25</v>
      </c>
      <c r="I1466" s="1">
        <v>51</v>
      </c>
      <c r="J1466" s="1">
        <v>57.5</v>
      </c>
      <c r="K1466" s="1">
        <v>6</v>
      </c>
      <c r="L1466" s="1">
        <v>12</v>
      </c>
      <c r="M1466" s="1">
        <v>18</v>
      </c>
      <c r="P1466" s="2" t="s">
        <v>551</v>
      </c>
      <c r="Q1466" s="2" t="s">
        <v>551</v>
      </c>
      <c r="R1466" s="2" t="s">
        <v>551</v>
      </c>
      <c r="S1466" s="1">
        <v>2</v>
      </c>
    </row>
    <row r="1467" spans="1:19" x14ac:dyDescent="0.25">
      <c r="A1467" s="12">
        <v>44945</v>
      </c>
      <c r="B1467" s="14" t="s">
        <v>1480</v>
      </c>
      <c r="C1467" s="1">
        <v>8</v>
      </c>
      <c r="D1467" s="1">
        <v>23</v>
      </c>
      <c r="E1467" s="1">
        <v>31</v>
      </c>
      <c r="F1467" s="1">
        <v>43.5</v>
      </c>
      <c r="G1467" s="1">
        <v>27</v>
      </c>
      <c r="H1467" s="1">
        <v>37.5</v>
      </c>
      <c r="I1467" s="1">
        <v>38</v>
      </c>
      <c r="J1467" s="1">
        <v>52.25</v>
      </c>
      <c r="K1467" s="1">
        <v>5</v>
      </c>
      <c r="L1467" s="1">
        <v>19</v>
      </c>
      <c r="M1467" s="1">
        <v>24</v>
      </c>
      <c r="P1467" s="2" t="s">
        <v>551</v>
      </c>
      <c r="Q1467" s="2" t="s">
        <v>551</v>
      </c>
      <c r="R1467" s="2" t="s">
        <v>551</v>
      </c>
      <c r="S1467" s="1">
        <v>3</v>
      </c>
    </row>
    <row r="1468" spans="1:19" x14ac:dyDescent="0.25">
      <c r="A1468" s="12">
        <v>44952</v>
      </c>
      <c r="B1468" s="14" t="s">
        <v>1481</v>
      </c>
      <c r="C1468" s="1">
        <v>9</v>
      </c>
      <c r="D1468" s="1">
        <v>23</v>
      </c>
      <c r="E1468" s="1">
        <v>32</v>
      </c>
      <c r="F1468" s="1">
        <v>47.75</v>
      </c>
      <c r="G1468" s="1">
        <v>26</v>
      </c>
      <c r="H1468" s="1">
        <v>34.25</v>
      </c>
      <c r="I1468" s="1">
        <v>39</v>
      </c>
      <c r="J1468" s="1">
        <v>53</v>
      </c>
      <c r="K1468" s="1">
        <v>5</v>
      </c>
      <c r="L1468" s="1">
        <v>16</v>
      </c>
      <c r="M1468" s="1">
        <v>21</v>
      </c>
      <c r="P1468" s="2" t="s">
        <v>551</v>
      </c>
      <c r="Q1468" s="2" t="s">
        <v>551</v>
      </c>
      <c r="R1468" s="2" t="s">
        <v>551</v>
      </c>
      <c r="S1468" s="1">
        <v>4</v>
      </c>
    </row>
    <row r="1469" spans="1:19" x14ac:dyDescent="0.25">
      <c r="A1469" s="12">
        <v>44959</v>
      </c>
      <c r="B1469" s="14" t="s">
        <v>1482</v>
      </c>
      <c r="C1469" s="1">
        <v>8</v>
      </c>
      <c r="D1469" s="1">
        <v>15</v>
      </c>
      <c r="E1469" s="1">
        <v>23</v>
      </c>
      <c r="F1469" s="1">
        <v>42.75</v>
      </c>
      <c r="G1469" s="1">
        <v>26</v>
      </c>
      <c r="H1469" s="1">
        <v>34</v>
      </c>
      <c r="I1469" s="1">
        <v>47</v>
      </c>
      <c r="J1469" s="1">
        <v>53</v>
      </c>
      <c r="K1469" s="1">
        <v>4</v>
      </c>
      <c r="L1469" s="1">
        <v>10</v>
      </c>
      <c r="M1469" s="1">
        <v>14</v>
      </c>
      <c r="P1469" s="2" t="s">
        <v>551</v>
      </c>
      <c r="Q1469" s="2" t="s">
        <v>551</v>
      </c>
      <c r="R1469" s="2" t="s">
        <v>551</v>
      </c>
      <c r="S1469" s="1">
        <v>5</v>
      </c>
    </row>
    <row r="1470" spans="1:19" x14ac:dyDescent="0.25">
      <c r="A1470" s="12">
        <v>44966</v>
      </c>
      <c r="B1470" s="14" t="s">
        <v>1483</v>
      </c>
      <c r="C1470" s="1">
        <v>10</v>
      </c>
      <c r="D1470" s="1">
        <v>14</v>
      </c>
      <c r="E1470" s="1">
        <v>24</v>
      </c>
      <c r="F1470" s="1">
        <v>37.5</v>
      </c>
      <c r="G1470" s="1">
        <v>28</v>
      </c>
      <c r="H1470" s="1">
        <v>37.25</v>
      </c>
      <c r="I1470" s="1">
        <v>40</v>
      </c>
      <c r="J1470" s="1">
        <v>57.75</v>
      </c>
      <c r="K1470" s="1">
        <v>5</v>
      </c>
      <c r="L1470" s="1">
        <v>8</v>
      </c>
      <c r="M1470" s="1">
        <v>13</v>
      </c>
      <c r="P1470" s="2" t="s">
        <v>551</v>
      </c>
      <c r="Q1470" s="2" t="s">
        <v>551</v>
      </c>
      <c r="R1470" s="2" t="s">
        <v>551</v>
      </c>
      <c r="S1470" s="1">
        <v>6</v>
      </c>
    </row>
    <row r="1471" spans="1:19" x14ac:dyDescent="0.25">
      <c r="A1471" s="12">
        <v>44973</v>
      </c>
      <c r="B1471" s="14" t="s">
        <v>1484</v>
      </c>
      <c r="C1471" s="1">
        <v>9</v>
      </c>
      <c r="D1471" s="1">
        <v>13</v>
      </c>
      <c r="E1471" s="1">
        <v>22</v>
      </c>
      <c r="F1471" s="1">
        <v>38.75</v>
      </c>
      <c r="G1471" s="1">
        <v>33</v>
      </c>
      <c r="H1471" s="1">
        <v>33.75</v>
      </c>
      <c r="I1471" s="1">
        <v>36</v>
      </c>
      <c r="J1471" s="1">
        <v>52.25</v>
      </c>
      <c r="K1471" s="1">
        <v>5</v>
      </c>
      <c r="L1471" s="1">
        <v>7</v>
      </c>
      <c r="M1471" s="1">
        <v>12</v>
      </c>
      <c r="P1471" s="2" t="s">
        <v>551</v>
      </c>
      <c r="Q1471" s="2" t="s">
        <v>551</v>
      </c>
      <c r="R1471" s="2" t="s">
        <v>551</v>
      </c>
      <c r="S1471" s="1">
        <v>7</v>
      </c>
    </row>
    <row r="1472" spans="1:19" x14ac:dyDescent="0.25">
      <c r="A1472" s="12">
        <v>44980</v>
      </c>
      <c r="B1472" s="14" t="s">
        <v>1485</v>
      </c>
      <c r="C1472" s="1">
        <v>8</v>
      </c>
      <c r="D1472" s="1">
        <v>15</v>
      </c>
      <c r="E1472" s="1">
        <v>23</v>
      </c>
      <c r="F1472" s="1">
        <v>35</v>
      </c>
      <c r="G1472" s="1">
        <v>25</v>
      </c>
      <c r="H1472" s="1">
        <v>32.75</v>
      </c>
      <c r="I1472" s="1">
        <v>44</v>
      </c>
      <c r="J1472" s="1">
        <v>53.75</v>
      </c>
      <c r="K1472" s="1">
        <v>1</v>
      </c>
      <c r="L1472" s="1">
        <v>4</v>
      </c>
      <c r="M1472" s="1">
        <v>5</v>
      </c>
      <c r="P1472" s="2" t="s">
        <v>551</v>
      </c>
      <c r="Q1472" s="2" t="s">
        <v>551</v>
      </c>
      <c r="R1472" s="2" t="s">
        <v>551</v>
      </c>
      <c r="S1472" s="1">
        <v>8</v>
      </c>
    </row>
    <row r="1473" spans="1:19" x14ac:dyDescent="0.25">
      <c r="A1473" s="12">
        <v>44987</v>
      </c>
      <c r="B1473" s="14" t="s">
        <v>1486</v>
      </c>
      <c r="C1473" s="1">
        <v>10</v>
      </c>
      <c r="D1473" s="1">
        <v>8</v>
      </c>
      <c r="E1473" s="1">
        <v>18</v>
      </c>
      <c r="F1473" s="1">
        <v>40.5</v>
      </c>
      <c r="G1473" s="1">
        <v>29</v>
      </c>
      <c r="H1473" s="1">
        <v>31.75</v>
      </c>
      <c r="I1473" s="1">
        <v>47</v>
      </c>
      <c r="J1473" s="1">
        <v>47.5</v>
      </c>
      <c r="K1473" s="1">
        <v>2</v>
      </c>
      <c r="L1473" s="1">
        <v>1</v>
      </c>
      <c r="M1473" s="1">
        <v>3</v>
      </c>
      <c r="P1473" s="2" t="s">
        <v>551</v>
      </c>
      <c r="Q1473" s="2" t="s">
        <v>551</v>
      </c>
      <c r="R1473" s="2" t="s">
        <v>551</v>
      </c>
      <c r="S1473" s="1">
        <v>9</v>
      </c>
    </row>
    <row r="1474" spans="1:19" x14ac:dyDescent="0.25">
      <c r="A1474" s="12">
        <v>44994</v>
      </c>
      <c r="B1474" s="14" t="s">
        <v>1487</v>
      </c>
      <c r="C1474" s="1">
        <v>10</v>
      </c>
      <c r="D1474" s="1">
        <v>12</v>
      </c>
      <c r="E1474" s="1">
        <v>22</v>
      </c>
      <c r="F1474" s="1">
        <v>36.25</v>
      </c>
      <c r="G1474" s="1">
        <v>30</v>
      </c>
      <c r="H1474" s="1">
        <v>36.5</v>
      </c>
      <c r="I1474" s="1">
        <v>46</v>
      </c>
      <c r="J1474" s="1">
        <v>54.5</v>
      </c>
      <c r="K1474" s="1">
        <v>2</v>
      </c>
      <c r="L1474" s="1">
        <v>4</v>
      </c>
      <c r="M1474" s="1">
        <v>6</v>
      </c>
      <c r="P1474" s="2" t="s">
        <v>551</v>
      </c>
      <c r="Q1474" s="2" t="s">
        <v>551</v>
      </c>
      <c r="R1474" s="2" t="s">
        <v>551</v>
      </c>
      <c r="S1474" s="1">
        <v>10</v>
      </c>
    </row>
    <row r="1475" spans="1:19" x14ac:dyDescent="0.25">
      <c r="A1475" s="12">
        <v>45001</v>
      </c>
      <c r="B1475" s="14" t="s">
        <v>1488</v>
      </c>
      <c r="C1475" s="1">
        <v>7</v>
      </c>
      <c r="D1475" s="1">
        <v>12</v>
      </c>
      <c r="E1475" s="1">
        <v>19</v>
      </c>
      <c r="F1475" s="1">
        <v>30.75</v>
      </c>
      <c r="G1475" s="1">
        <v>31</v>
      </c>
      <c r="H1475" s="1">
        <v>32.25</v>
      </c>
      <c r="I1475" s="1">
        <v>43</v>
      </c>
      <c r="J1475" s="1">
        <v>52.75</v>
      </c>
      <c r="K1475" s="1">
        <v>4</v>
      </c>
      <c r="L1475" s="1">
        <v>2</v>
      </c>
      <c r="M1475" s="1">
        <v>6</v>
      </c>
      <c r="P1475" s="2" t="s">
        <v>551</v>
      </c>
      <c r="Q1475" s="2" t="s">
        <v>551</v>
      </c>
      <c r="R1475" s="2" t="s">
        <v>551</v>
      </c>
      <c r="S1475" s="1">
        <v>11</v>
      </c>
    </row>
    <row r="1476" spans="1:19" x14ac:dyDescent="0.25">
      <c r="A1476" s="12">
        <v>45008</v>
      </c>
      <c r="B1476" s="14" t="s">
        <v>1489</v>
      </c>
      <c r="C1476" s="1">
        <v>8</v>
      </c>
      <c r="D1476" s="1">
        <v>13</v>
      </c>
      <c r="E1476" s="1">
        <v>21</v>
      </c>
      <c r="F1476" s="1">
        <v>35.25</v>
      </c>
      <c r="G1476" s="1">
        <v>33</v>
      </c>
      <c r="H1476" s="1">
        <v>33.5</v>
      </c>
      <c r="I1476" s="1">
        <v>46</v>
      </c>
      <c r="J1476" s="1">
        <v>44</v>
      </c>
      <c r="K1476" s="1">
        <v>2</v>
      </c>
      <c r="L1476" s="1">
        <v>2</v>
      </c>
      <c r="M1476" s="1">
        <v>4</v>
      </c>
      <c r="P1476" s="2" t="s">
        <v>551</v>
      </c>
      <c r="Q1476" s="2" t="s">
        <v>551</v>
      </c>
      <c r="R1476" s="2" t="s">
        <v>551</v>
      </c>
      <c r="S1476" s="1">
        <v>12</v>
      </c>
    </row>
    <row r="1477" spans="1:19" x14ac:dyDescent="0.25">
      <c r="A1477" s="12">
        <v>45015</v>
      </c>
      <c r="B1477" s="14" t="s">
        <v>1490</v>
      </c>
      <c r="C1477" s="1">
        <v>10</v>
      </c>
      <c r="D1477" s="1">
        <v>14</v>
      </c>
      <c r="E1477" s="1">
        <v>24</v>
      </c>
      <c r="F1477" s="1">
        <f t="shared" ref="F1477:F1508" si="71">AVERAGE(E1425,E1373,E1321,E1269)</f>
        <v>33</v>
      </c>
      <c r="G1477" s="1">
        <v>30</v>
      </c>
      <c r="H1477" s="1">
        <f t="shared" ref="H1477:H1508" si="72">AVERAGE(G1425,G1373,G1321,G1269)</f>
        <v>32</v>
      </c>
      <c r="I1477" s="1">
        <v>27</v>
      </c>
      <c r="J1477" s="1">
        <f t="shared" ref="J1477:J1508" si="73">AVERAGE(I1425,I1373,I1321,I1269)</f>
        <v>45</v>
      </c>
      <c r="K1477" s="1">
        <v>2</v>
      </c>
      <c r="L1477" s="1">
        <v>2</v>
      </c>
      <c r="M1477" s="1">
        <v>4</v>
      </c>
      <c r="P1477" s="2" t="s">
        <v>551</v>
      </c>
      <c r="Q1477" s="2" t="s">
        <v>551</v>
      </c>
      <c r="R1477" s="2" t="s">
        <v>551</v>
      </c>
      <c r="S1477" s="1">
        <v>13</v>
      </c>
    </row>
    <row r="1478" spans="1:19" x14ac:dyDescent="0.25">
      <c r="A1478" s="12">
        <v>45022</v>
      </c>
      <c r="B1478" s="14" t="s">
        <v>1491</v>
      </c>
      <c r="C1478" s="1">
        <v>6</v>
      </c>
      <c r="D1478" s="1">
        <v>8</v>
      </c>
      <c r="E1478" s="1">
        <v>14</v>
      </c>
      <c r="F1478" s="1">
        <f t="shared" si="71"/>
        <v>31</v>
      </c>
      <c r="G1478" s="1">
        <v>27</v>
      </c>
      <c r="H1478" s="1">
        <f t="shared" si="72"/>
        <v>32.75</v>
      </c>
      <c r="I1478" s="1">
        <v>42</v>
      </c>
      <c r="J1478" s="1">
        <f t="shared" si="73"/>
        <v>51.75</v>
      </c>
      <c r="K1478" s="1">
        <v>3</v>
      </c>
      <c r="L1478" s="1">
        <v>3</v>
      </c>
      <c r="M1478" s="1">
        <v>6</v>
      </c>
      <c r="P1478" s="2" t="s">
        <v>551</v>
      </c>
      <c r="Q1478" s="2" t="s">
        <v>551</v>
      </c>
      <c r="R1478" s="2" t="s">
        <v>551</v>
      </c>
      <c r="S1478" s="1">
        <v>14</v>
      </c>
    </row>
    <row r="1479" spans="1:19" x14ac:dyDescent="0.25">
      <c r="A1479" s="12">
        <v>45029</v>
      </c>
      <c r="B1479" s="14" t="s">
        <v>1492</v>
      </c>
      <c r="C1479" s="1">
        <v>9</v>
      </c>
      <c r="D1479" s="1">
        <v>5</v>
      </c>
      <c r="E1479" s="1">
        <v>14</v>
      </c>
      <c r="F1479" s="1">
        <f t="shared" si="71"/>
        <v>32</v>
      </c>
      <c r="G1479" s="1">
        <v>25</v>
      </c>
      <c r="H1479" s="1">
        <f t="shared" si="72"/>
        <v>32</v>
      </c>
      <c r="I1479" s="1">
        <v>31</v>
      </c>
      <c r="J1479" s="1">
        <f t="shared" si="73"/>
        <v>50.25</v>
      </c>
      <c r="K1479" s="1">
        <v>4</v>
      </c>
      <c r="L1479" s="1">
        <v>3</v>
      </c>
      <c r="M1479" s="1">
        <v>7</v>
      </c>
      <c r="P1479" s="2" t="s">
        <v>551</v>
      </c>
      <c r="Q1479" s="2" t="s">
        <v>551</v>
      </c>
      <c r="R1479" s="2" t="s">
        <v>551</v>
      </c>
      <c r="S1479" s="1">
        <v>15</v>
      </c>
    </row>
    <row r="1480" spans="1:19" x14ac:dyDescent="0.25">
      <c r="A1480" s="12">
        <v>45036</v>
      </c>
      <c r="B1480" s="14" t="s">
        <v>1493</v>
      </c>
      <c r="C1480" s="1">
        <v>9</v>
      </c>
      <c r="D1480" s="1">
        <v>11</v>
      </c>
      <c r="E1480" s="1">
        <v>20</v>
      </c>
      <c r="F1480" s="1">
        <f t="shared" si="71"/>
        <v>30.75</v>
      </c>
      <c r="G1480" s="1">
        <v>27</v>
      </c>
      <c r="H1480" s="1">
        <f t="shared" si="72"/>
        <v>34.75</v>
      </c>
      <c r="I1480" s="1">
        <v>24</v>
      </c>
      <c r="J1480" s="1">
        <f t="shared" si="73"/>
        <v>44.75</v>
      </c>
      <c r="K1480" s="1">
        <v>2</v>
      </c>
      <c r="L1480" s="1">
        <v>7</v>
      </c>
      <c r="M1480" s="1">
        <v>9</v>
      </c>
      <c r="P1480" s="2" t="s">
        <v>551</v>
      </c>
      <c r="Q1480" s="2" t="s">
        <v>551</v>
      </c>
      <c r="R1480" s="2" t="s">
        <v>551</v>
      </c>
      <c r="S1480" s="1">
        <v>16</v>
      </c>
    </row>
    <row r="1481" spans="1:19" x14ac:dyDescent="0.25">
      <c r="A1481" s="12">
        <v>45043</v>
      </c>
      <c r="B1481" s="14" t="s">
        <v>1493</v>
      </c>
      <c r="C1481" s="1">
        <v>8</v>
      </c>
      <c r="D1481" s="1">
        <v>6</v>
      </c>
      <c r="E1481" s="1">
        <v>14</v>
      </c>
      <c r="F1481" s="1">
        <f t="shared" si="71"/>
        <v>24.5</v>
      </c>
      <c r="G1481" s="1">
        <v>32</v>
      </c>
      <c r="H1481" s="1">
        <f t="shared" si="72"/>
        <v>33.5</v>
      </c>
      <c r="I1481" s="1">
        <v>35</v>
      </c>
      <c r="J1481" s="1">
        <f t="shared" si="73"/>
        <v>50</v>
      </c>
      <c r="K1481" s="1">
        <v>2</v>
      </c>
      <c r="L1481" s="1">
        <v>6</v>
      </c>
      <c r="M1481" s="1">
        <v>8</v>
      </c>
      <c r="P1481" s="2" t="s">
        <v>551</v>
      </c>
      <c r="Q1481" s="2" t="s">
        <v>551</v>
      </c>
      <c r="R1481" s="2" t="s">
        <v>551</v>
      </c>
      <c r="S1481" s="1">
        <v>17</v>
      </c>
    </row>
    <row r="1482" spans="1:19" x14ac:dyDescent="0.25">
      <c r="A1482" s="12">
        <v>45050</v>
      </c>
      <c r="B1482" s="14" t="s">
        <v>1494</v>
      </c>
      <c r="C1482" s="1">
        <v>6</v>
      </c>
      <c r="D1482" s="1">
        <v>2</v>
      </c>
      <c r="E1482" s="1">
        <v>8</v>
      </c>
      <c r="F1482" s="1">
        <f t="shared" si="71"/>
        <v>25.75</v>
      </c>
      <c r="G1482" s="1">
        <v>25</v>
      </c>
      <c r="H1482" s="1">
        <f t="shared" si="72"/>
        <v>30</v>
      </c>
      <c r="I1482" s="1">
        <v>33</v>
      </c>
      <c r="J1482" s="1">
        <f t="shared" si="73"/>
        <v>48.5</v>
      </c>
      <c r="K1482" s="1">
        <v>2</v>
      </c>
      <c r="L1482" s="1">
        <v>10</v>
      </c>
      <c r="M1482" s="1">
        <v>12</v>
      </c>
      <c r="P1482" s="2" t="s">
        <v>551</v>
      </c>
      <c r="Q1482" s="2" t="s">
        <v>551</v>
      </c>
      <c r="R1482" s="2" t="s">
        <v>551</v>
      </c>
      <c r="S1482" s="1">
        <v>18</v>
      </c>
    </row>
    <row r="1483" spans="1:19" x14ac:dyDescent="0.25">
      <c r="A1483" s="12">
        <v>45057</v>
      </c>
      <c r="B1483" s="14" t="s">
        <v>1495</v>
      </c>
      <c r="C1483" s="1">
        <v>8</v>
      </c>
      <c r="D1483" s="1">
        <v>6</v>
      </c>
      <c r="E1483" s="1">
        <v>14</v>
      </c>
      <c r="F1483" s="1">
        <f t="shared" si="71"/>
        <v>24.75</v>
      </c>
      <c r="G1483" s="1">
        <v>19</v>
      </c>
      <c r="H1483" s="1">
        <f t="shared" si="72"/>
        <v>31</v>
      </c>
      <c r="I1483" s="1">
        <v>40</v>
      </c>
      <c r="J1483" s="1">
        <f t="shared" si="73"/>
        <v>51.5</v>
      </c>
      <c r="K1483" s="1">
        <v>5</v>
      </c>
      <c r="L1483" s="1">
        <v>8</v>
      </c>
      <c r="M1483" s="1">
        <v>13</v>
      </c>
      <c r="P1483" s="2" t="s">
        <v>551</v>
      </c>
      <c r="Q1483" s="2" t="s">
        <v>551</v>
      </c>
      <c r="R1483" s="2" t="s">
        <v>551</v>
      </c>
      <c r="S1483" s="1">
        <v>19</v>
      </c>
    </row>
    <row r="1484" spans="1:19" x14ac:dyDescent="0.25">
      <c r="A1484" s="12">
        <v>45064</v>
      </c>
      <c r="B1484" s="14" t="s">
        <v>1496</v>
      </c>
      <c r="C1484" s="1">
        <v>6</v>
      </c>
      <c r="D1484" s="1">
        <v>5</v>
      </c>
      <c r="E1484" s="1">
        <v>11</v>
      </c>
      <c r="F1484" s="1">
        <f t="shared" si="71"/>
        <v>30</v>
      </c>
      <c r="G1484" s="1">
        <v>22</v>
      </c>
      <c r="H1484" s="1">
        <f t="shared" si="72"/>
        <v>32.5</v>
      </c>
      <c r="I1484" s="1">
        <v>44</v>
      </c>
      <c r="J1484" s="1">
        <f t="shared" si="73"/>
        <v>40.75</v>
      </c>
      <c r="K1484" s="1">
        <v>3</v>
      </c>
      <c r="L1484" s="1">
        <v>11</v>
      </c>
      <c r="M1484" s="1">
        <v>14</v>
      </c>
      <c r="P1484" s="2" t="s">
        <v>551</v>
      </c>
      <c r="Q1484" s="2" t="s">
        <v>551</v>
      </c>
      <c r="R1484" s="2" t="s">
        <v>551</v>
      </c>
      <c r="S1484" s="1">
        <v>20</v>
      </c>
    </row>
    <row r="1485" spans="1:19" x14ac:dyDescent="0.25">
      <c r="A1485" s="12">
        <v>45071</v>
      </c>
      <c r="B1485" s="14" t="s">
        <v>1497</v>
      </c>
      <c r="C1485" s="1">
        <v>7</v>
      </c>
      <c r="D1485" s="1">
        <v>10</v>
      </c>
      <c r="E1485" s="1">
        <v>17</v>
      </c>
      <c r="F1485" s="1">
        <f t="shared" si="71"/>
        <v>29.5</v>
      </c>
      <c r="G1485" s="1">
        <v>24</v>
      </c>
      <c r="H1485" s="1">
        <f t="shared" si="72"/>
        <v>31</v>
      </c>
      <c r="I1485" s="1">
        <v>35</v>
      </c>
      <c r="J1485" s="1">
        <f t="shared" si="73"/>
        <v>41.75</v>
      </c>
      <c r="K1485" s="1">
        <v>4</v>
      </c>
      <c r="L1485" s="1">
        <v>11</v>
      </c>
      <c r="M1485" s="1">
        <v>15</v>
      </c>
      <c r="P1485" s="2" t="s">
        <v>551</v>
      </c>
      <c r="Q1485" s="2" t="s">
        <v>551</v>
      </c>
      <c r="R1485" s="2" t="s">
        <v>551</v>
      </c>
      <c r="S1485" s="1">
        <v>21</v>
      </c>
    </row>
    <row r="1486" spans="1:19" x14ac:dyDescent="0.25">
      <c r="A1486" s="12">
        <v>45078</v>
      </c>
      <c r="B1486" s="14" t="s">
        <v>1498</v>
      </c>
      <c r="C1486" s="1">
        <v>8</v>
      </c>
      <c r="D1486" s="1">
        <v>7</v>
      </c>
      <c r="E1486" s="1">
        <v>15</v>
      </c>
      <c r="F1486" s="1">
        <f t="shared" si="71"/>
        <v>30.75</v>
      </c>
      <c r="G1486" s="1">
        <v>22</v>
      </c>
      <c r="H1486" s="1">
        <f t="shared" si="72"/>
        <v>30.5</v>
      </c>
      <c r="I1486" s="1">
        <v>37</v>
      </c>
      <c r="J1486" s="1">
        <f t="shared" si="73"/>
        <v>44.25</v>
      </c>
      <c r="K1486" s="1">
        <v>3</v>
      </c>
      <c r="L1486" s="1">
        <v>7</v>
      </c>
      <c r="M1486" s="1">
        <v>10</v>
      </c>
      <c r="P1486" s="2" t="s">
        <v>551</v>
      </c>
      <c r="Q1486" s="2" t="s">
        <v>551</v>
      </c>
      <c r="R1486" s="2" t="s">
        <v>551</v>
      </c>
      <c r="S1486" s="1">
        <v>22</v>
      </c>
    </row>
    <row r="1487" spans="1:19" x14ac:dyDescent="0.25">
      <c r="A1487" s="12">
        <v>45085</v>
      </c>
      <c r="B1487" s="14" t="s">
        <v>1499</v>
      </c>
      <c r="C1487" s="1">
        <v>9</v>
      </c>
      <c r="D1487" s="1">
        <v>16</v>
      </c>
      <c r="E1487" s="1">
        <v>25</v>
      </c>
      <c r="F1487" s="1">
        <f t="shared" si="71"/>
        <v>30.75</v>
      </c>
      <c r="G1487" s="1">
        <v>19</v>
      </c>
      <c r="H1487" s="1">
        <f t="shared" si="72"/>
        <v>29.25</v>
      </c>
      <c r="I1487" s="1">
        <v>25</v>
      </c>
      <c r="J1487" s="1">
        <f t="shared" si="73"/>
        <v>43</v>
      </c>
      <c r="K1487" s="1">
        <v>1</v>
      </c>
      <c r="L1487" s="1">
        <v>4</v>
      </c>
      <c r="M1487" s="1">
        <v>5</v>
      </c>
      <c r="P1487" s="2" t="s">
        <v>551</v>
      </c>
      <c r="Q1487" s="2" t="s">
        <v>551</v>
      </c>
      <c r="R1487" s="2" t="s">
        <v>551</v>
      </c>
      <c r="S1487" s="1">
        <v>23</v>
      </c>
    </row>
    <row r="1488" spans="1:19" x14ac:dyDescent="0.25">
      <c r="A1488" s="12">
        <v>45092</v>
      </c>
      <c r="B1488" s="14" t="s">
        <v>1500</v>
      </c>
      <c r="C1488" s="1">
        <v>7</v>
      </c>
      <c r="D1488" s="1">
        <v>8</v>
      </c>
      <c r="E1488" s="1">
        <v>15</v>
      </c>
      <c r="F1488" s="1">
        <f t="shared" si="71"/>
        <v>29</v>
      </c>
      <c r="G1488" s="1">
        <v>22</v>
      </c>
      <c r="H1488" s="1">
        <f t="shared" si="72"/>
        <v>28.75</v>
      </c>
      <c r="I1488" s="1">
        <v>29</v>
      </c>
      <c r="J1488" s="1">
        <f t="shared" si="73"/>
        <v>36.5</v>
      </c>
      <c r="K1488" s="1">
        <v>2</v>
      </c>
      <c r="L1488" s="1">
        <v>4</v>
      </c>
      <c r="M1488" s="1">
        <v>6</v>
      </c>
      <c r="P1488" s="2" t="s">
        <v>551</v>
      </c>
      <c r="Q1488" s="2" t="s">
        <v>551</v>
      </c>
      <c r="R1488" s="2" t="s">
        <v>551</v>
      </c>
      <c r="S1488" s="1">
        <v>24</v>
      </c>
    </row>
    <row r="1489" spans="1:19" x14ac:dyDescent="0.25">
      <c r="A1489" s="12">
        <v>45099</v>
      </c>
      <c r="B1489" s="14" t="s">
        <v>1501</v>
      </c>
      <c r="C1489" s="1">
        <v>6</v>
      </c>
      <c r="D1489" s="1">
        <v>15</v>
      </c>
      <c r="E1489" s="1">
        <v>21</v>
      </c>
      <c r="F1489" s="1">
        <f t="shared" si="71"/>
        <v>29</v>
      </c>
      <c r="G1489" s="1">
        <v>18</v>
      </c>
      <c r="H1489" s="1">
        <f t="shared" si="72"/>
        <v>24.5</v>
      </c>
      <c r="I1489" s="1">
        <v>21</v>
      </c>
      <c r="J1489" s="1">
        <f t="shared" si="73"/>
        <v>39</v>
      </c>
      <c r="K1489" s="1">
        <v>3</v>
      </c>
      <c r="L1489" s="1">
        <v>2</v>
      </c>
      <c r="M1489" s="1">
        <v>5</v>
      </c>
      <c r="P1489" s="2" t="s">
        <v>551</v>
      </c>
      <c r="Q1489" s="2" t="s">
        <v>551</v>
      </c>
      <c r="R1489" s="2" t="s">
        <v>551</v>
      </c>
      <c r="S1489" s="1">
        <v>25</v>
      </c>
    </row>
    <row r="1490" spans="1:19" x14ac:dyDescent="0.25">
      <c r="A1490" s="12">
        <v>45106</v>
      </c>
      <c r="B1490" s="14" t="s">
        <v>1502</v>
      </c>
      <c r="C1490" s="1">
        <v>6</v>
      </c>
      <c r="D1490" s="1">
        <v>15</v>
      </c>
      <c r="E1490" s="1">
        <v>21</v>
      </c>
      <c r="F1490" s="1">
        <f t="shared" si="71"/>
        <v>29</v>
      </c>
      <c r="G1490" s="1">
        <v>19</v>
      </c>
      <c r="H1490" s="1">
        <f t="shared" si="72"/>
        <v>26.5</v>
      </c>
      <c r="I1490" s="1">
        <v>25</v>
      </c>
      <c r="J1490" s="1">
        <f t="shared" si="73"/>
        <v>43.5</v>
      </c>
      <c r="K1490" s="1">
        <v>3</v>
      </c>
      <c r="L1490" s="1">
        <v>2</v>
      </c>
      <c r="M1490" s="1">
        <v>5</v>
      </c>
      <c r="P1490" s="2" t="s">
        <v>551</v>
      </c>
      <c r="Q1490" s="2" t="s">
        <v>551</v>
      </c>
      <c r="R1490" s="2" t="s">
        <v>551</v>
      </c>
      <c r="S1490" s="1">
        <v>26</v>
      </c>
    </row>
    <row r="1491" spans="1:19" x14ac:dyDescent="0.25">
      <c r="A1491" s="12">
        <v>45113</v>
      </c>
      <c r="B1491" s="14" t="s">
        <v>1503</v>
      </c>
      <c r="C1491" s="1">
        <v>6</v>
      </c>
      <c r="D1491" s="1">
        <v>16</v>
      </c>
      <c r="E1491" s="1">
        <v>22</v>
      </c>
      <c r="F1491" s="1">
        <f t="shared" si="71"/>
        <v>29.5</v>
      </c>
      <c r="G1491" s="1">
        <v>19</v>
      </c>
      <c r="H1491" s="1">
        <f t="shared" si="72"/>
        <v>23.75</v>
      </c>
      <c r="I1491" s="1">
        <v>25</v>
      </c>
      <c r="J1491" s="1">
        <f t="shared" si="73"/>
        <v>38.75</v>
      </c>
      <c r="K1491" s="1">
        <v>1</v>
      </c>
      <c r="L1491" s="1">
        <v>3</v>
      </c>
      <c r="M1491" s="1">
        <v>4</v>
      </c>
      <c r="P1491" s="2" t="s">
        <v>551</v>
      </c>
      <c r="Q1491" s="2" t="s">
        <v>551</v>
      </c>
      <c r="R1491" s="2" t="s">
        <v>551</v>
      </c>
      <c r="S1491" s="1">
        <v>27</v>
      </c>
    </row>
    <row r="1492" spans="1:19" x14ac:dyDescent="0.25">
      <c r="A1492" s="12">
        <v>45120</v>
      </c>
      <c r="B1492" s="14" t="s">
        <v>1504</v>
      </c>
      <c r="C1492" s="1">
        <v>7</v>
      </c>
      <c r="D1492" s="1">
        <v>13</v>
      </c>
      <c r="E1492" s="1">
        <v>20</v>
      </c>
      <c r="F1492" s="1">
        <f t="shared" si="71"/>
        <v>30.25</v>
      </c>
      <c r="G1492" s="1">
        <v>18</v>
      </c>
      <c r="H1492" s="1">
        <f t="shared" si="72"/>
        <v>24.25</v>
      </c>
      <c r="I1492" s="1">
        <v>37</v>
      </c>
      <c r="J1492" s="1">
        <f t="shared" si="73"/>
        <v>45</v>
      </c>
      <c r="K1492" s="1">
        <v>1</v>
      </c>
      <c r="L1492" s="1">
        <v>4</v>
      </c>
      <c r="M1492" s="1">
        <v>5</v>
      </c>
      <c r="P1492" s="2" t="s">
        <v>551</v>
      </c>
      <c r="Q1492" s="2" t="s">
        <v>551</v>
      </c>
      <c r="R1492" s="2" t="s">
        <v>551</v>
      </c>
      <c r="S1492" s="1">
        <v>28</v>
      </c>
    </row>
    <row r="1493" spans="1:19" x14ac:dyDescent="0.25">
      <c r="A1493" s="12">
        <v>45127</v>
      </c>
      <c r="B1493" s="14" t="s">
        <v>1505</v>
      </c>
      <c r="C1493" s="1">
        <v>7</v>
      </c>
      <c r="D1493" s="1">
        <v>22</v>
      </c>
      <c r="E1493" s="1">
        <v>29</v>
      </c>
      <c r="F1493" s="1">
        <f t="shared" si="71"/>
        <v>28</v>
      </c>
      <c r="G1493" s="1">
        <v>22</v>
      </c>
      <c r="H1493" s="1">
        <f t="shared" si="72"/>
        <v>27</v>
      </c>
      <c r="I1493" s="1">
        <v>30</v>
      </c>
      <c r="J1493" s="1">
        <f t="shared" si="73"/>
        <v>48.5</v>
      </c>
      <c r="K1493" s="1">
        <v>3</v>
      </c>
      <c r="L1493" s="1">
        <v>2</v>
      </c>
      <c r="M1493" s="1">
        <v>5</v>
      </c>
      <c r="P1493" s="2" t="s">
        <v>551</v>
      </c>
      <c r="Q1493" s="2" t="s">
        <v>551</v>
      </c>
      <c r="R1493" s="2" t="s">
        <v>551</v>
      </c>
      <c r="S1493" s="1">
        <v>29</v>
      </c>
    </row>
    <row r="1494" spans="1:19" x14ac:dyDescent="0.25">
      <c r="A1494" s="12">
        <v>45134</v>
      </c>
      <c r="B1494" s="14" t="s">
        <v>1506</v>
      </c>
      <c r="C1494" s="1">
        <v>8</v>
      </c>
      <c r="D1494" s="1">
        <v>21</v>
      </c>
      <c r="E1494" s="1">
        <v>29</v>
      </c>
      <c r="F1494" s="1">
        <f t="shared" si="71"/>
        <v>29.25</v>
      </c>
      <c r="G1494" s="1">
        <v>20</v>
      </c>
      <c r="H1494" s="1">
        <f t="shared" si="72"/>
        <v>30</v>
      </c>
      <c r="I1494" s="1">
        <v>26</v>
      </c>
      <c r="J1494" s="1">
        <f t="shared" si="73"/>
        <v>45.25</v>
      </c>
      <c r="K1494" s="1">
        <v>0</v>
      </c>
      <c r="L1494" s="1">
        <v>1</v>
      </c>
      <c r="M1494" s="1">
        <v>1</v>
      </c>
      <c r="P1494" s="2" t="s">
        <v>551</v>
      </c>
      <c r="Q1494" s="2" t="s">
        <v>551</v>
      </c>
      <c r="R1494" s="2" t="s">
        <v>551</v>
      </c>
      <c r="S1494" s="1">
        <v>30</v>
      </c>
    </row>
    <row r="1495" spans="1:19" x14ac:dyDescent="0.25">
      <c r="A1495" s="12">
        <v>45141</v>
      </c>
      <c r="B1495" s="14" t="s">
        <v>1507</v>
      </c>
      <c r="C1495" s="1">
        <v>6</v>
      </c>
      <c r="D1495" s="1">
        <v>18</v>
      </c>
      <c r="E1495" s="1">
        <v>24</v>
      </c>
      <c r="F1495" s="1">
        <f t="shared" si="71"/>
        <v>31</v>
      </c>
      <c r="G1495" s="1">
        <v>24</v>
      </c>
      <c r="H1495" s="1">
        <f t="shared" si="72"/>
        <v>31.5</v>
      </c>
      <c r="I1495" s="1">
        <v>21</v>
      </c>
      <c r="J1495" s="1">
        <f t="shared" si="73"/>
        <v>41.25</v>
      </c>
      <c r="K1495" s="1">
        <v>3</v>
      </c>
      <c r="L1495" s="1">
        <v>4</v>
      </c>
      <c r="M1495" s="1">
        <v>7</v>
      </c>
      <c r="P1495" s="2" t="s">
        <v>551</v>
      </c>
      <c r="Q1495" s="2" t="s">
        <v>551</v>
      </c>
      <c r="R1495" s="2" t="s">
        <v>551</v>
      </c>
      <c r="S1495" s="1">
        <v>31</v>
      </c>
    </row>
    <row r="1496" spans="1:19" x14ac:dyDescent="0.25">
      <c r="A1496" s="12">
        <v>45148</v>
      </c>
      <c r="B1496" s="14" t="s">
        <v>1508</v>
      </c>
      <c r="C1496" s="1">
        <v>5</v>
      </c>
      <c r="D1496" s="1">
        <v>13</v>
      </c>
      <c r="E1496" s="1">
        <v>18</v>
      </c>
      <c r="F1496" s="1">
        <f t="shared" si="71"/>
        <v>30.75</v>
      </c>
      <c r="G1496" s="1">
        <v>17</v>
      </c>
      <c r="H1496" s="1">
        <f t="shared" si="72"/>
        <v>32.75</v>
      </c>
      <c r="I1496" s="1">
        <v>30</v>
      </c>
      <c r="J1496" s="1">
        <f t="shared" si="73"/>
        <v>38.75</v>
      </c>
      <c r="K1496" s="1">
        <v>2</v>
      </c>
      <c r="L1496" s="1">
        <v>3</v>
      </c>
      <c r="M1496" s="1">
        <v>5</v>
      </c>
      <c r="P1496" s="2" t="s">
        <v>551</v>
      </c>
      <c r="Q1496" s="2" t="s">
        <v>551</v>
      </c>
      <c r="R1496" s="2" t="s">
        <v>551</v>
      </c>
      <c r="S1496" s="1">
        <v>32</v>
      </c>
    </row>
    <row r="1497" spans="1:19" x14ac:dyDescent="0.25">
      <c r="A1497" s="12">
        <v>45155</v>
      </c>
      <c r="B1497" s="14" t="s">
        <v>1509</v>
      </c>
      <c r="C1497" s="1">
        <v>7</v>
      </c>
      <c r="D1497" s="1">
        <v>11</v>
      </c>
      <c r="E1497" s="1">
        <v>18</v>
      </c>
      <c r="F1497" s="1">
        <f t="shared" si="71"/>
        <v>30.75</v>
      </c>
      <c r="G1497" s="1">
        <v>18</v>
      </c>
      <c r="H1497" s="1">
        <f t="shared" si="72"/>
        <v>29</v>
      </c>
      <c r="I1497" s="1">
        <v>33</v>
      </c>
      <c r="J1497" s="1">
        <f t="shared" si="73"/>
        <v>36.25</v>
      </c>
      <c r="K1497" s="1">
        <v>2</v>
      </c>
      <c r="L1497" s="1">
        <v>1</v>
      </c>
      <c r="M1497" s="1">
        <v>3</v>
      </c>
      <c r="P1497" s="2" t="s">
        <v>551</v>
      </c>
      <c r="Q1497" s="2" t="s">
        <v>551</v>
      </c>
      <c r="R1497" s="2" t="s">
        <v>551</v>
      </c>
      <c r="S1497" s="1">
        <v>33</v>
      </c>
    </row>
    <row r="1498" spans="1:19" x14ac:dyDescent="0.25">
      <c r="A1498" s="12">
        <v>45162</v>
      </c>
      <c r="B1498" s="14" t="s">
        <v>1510</v>
      </c>
      <c r="C1498" s="1">
        <v>7</v>
      </c>
      <c r="D1498" s="1">
        <v>12</v>
      </c>
      <c r="E1498" s="1">
        <v>19</v>
      </c>
      <c r="F1498" s="1">
        <f t="shared" si="71"/>
        <v>27.25</v>
      </c>
      <c r="G1498" s="1">
        <v>26</v>
      </c>
      <c r="H1498" s="1">
        <f t="shared" si="72"/>
        <v>24.5</v>
      </c>
      <c r="I1498" s="1">
        <v>36</v>
      </c>
      <c r="J1498" s="1">
        <f t="shared" si="73"/>
        <v>40</v>
      </c>
      <c r="K1498" s="1">
        <v>1</v>
      </c>
      <c r="L1498" s="1">
        <v>3</v>
      </c>
      <c r="M1498" s="1">
        <v>4</v>
      </c>
      <c r="P1498" s="2" t="s">
        <v>551</v>
      </c>
      <c r="Q1498" s="2" t="s">
        <v>551</v>
      </c>
      <c r="R1498" s="2" t="s">
        <v>551</v>
      </c>
      <c r="S1498" s="1">
        <v>34</v>
      </c>
    </row>
    <row r="1499" spans="1:19" x14ac:dyDescent="0.25">
      <c r="A1499" s="12">
        <v>45169</v>
      </c>
      <c r="B1499" s="14" t="s">
        <v>1511</v>
      </c>
      <c r="C1499" s="1">
        <v>8</v>
      </c>
      <c r="D1499" s="1">
        <v>7</v>
      </c>
      <c r="E1499" s="1">
        <v>15</v>
      </c>
      <c r="F1499" s="1">
        <f t="shared" si="71"/>
        <v>24.75</v>
      </c>
      <c r="G1499" s="1">
        <v>23</v>
      </c>
      <c r="H1499" s="1">
        <f t="shared" si="72"/>
        <v>23.5</v>
      </c>
      <c r="I1499" s="1">
        <v>42</v>
      </c>
      <c r="J1499" s="1">
        <f t="shared" si="73"/>
        <v>37.25</v>
      </c>
      <c r="K1499" s="1">
        <v>2</v>
      </c>
      <c r="L1499" s="1">
        <v>1</v>
      </c>
      <c r="M1499" s="1">
        <v>3</v>
      </c>
      <c r="P1499" s="2" t="s">
        <v>551</v>
      </c>
      <c r="Q1499" s="2" t="s">
        <v>551</v>
      </c>
      <c r="R1499" s="2" t="s">
        <v>551</v>
      </c>
      <c r="S1499" s="1">
        <v>35</v>
      </c>
    </row>
    <row r="1500" spans="1:19" x14ac:dyDescent="0.25">
      <c r="A1500" s="12">
        <v>45176</v>
      </c>
      <c r="B1500" s="14" t="s">
        <v>1512</v>
      </c>
      <c r="C1500" s="1">
        <v>9</v>
      </c>
      <c r="D1500" s="1">
        <v>13</v>
      </c>
      <c r="E1500" s="1">
        <v>22</v>
      </c>
      <c r="F1500" s="1">
        <f t="shared" si="71"/>
        <v>28</v>
      </c>
      <c r="G1500" s="1">
        <v>25</v>
      </c>
      <c r="H1500" s="1">
        <f t="shared" si="72"/>
        <v>24.25</v>
      </c>
      <c r="I1500" s="1">
        <v>33</v>
      </c>
      <c r="J1500" s="1">
        <f t="shared" si="73"/>
        <v>43</v>
      </c>
      <c r="K1500" s="1">
        <v>1</v>
      </c>
      <c r="L1500" s="1">
        <v>6</v>
      </c>
      <c r="M1500" s="1">
        <v>7</v>
      </c>
      <c r="P1500" s="2" t="s">
        <v>551</v>
      </c>
      <c r="Q1500" s="2" t="s">
        <v>551</v>
      </c>
      <c r="R1500" s="2" t="s">
        <v>551</v>
      </c>
      <c r="S1500" s="1">
        <v>36</v>
      </c>
    </row>
    <row r="1501" spans="1:19" x14ac:dyDescent="0.25">
      <c r="A1501" s="12">
        <v>45183</v>
      </c>
      <c r="B1501" s="14" t="s">
        <v>1513</v>
      </c>
      <c r="C1501" s="1">
        <v>5</v>
      </c>
      <c r="D1501" s="1">
        <v>13</v>
      </c>
      <c r="E1501" s="1">
        <v>18</v>
      </c>
      <c r="F1501" s="1">
        <f t="shared" si="71"/>
        <v>34.25</v>
      </c>
      <c r="G1501" s="1">
        <v>25</v>
      </c>
      <c r="H1501" s="1">
        <f t="shared" si="72"/>
        <v>20.25</v>
      </c>
      <c r="I1501" s="1">
        <v>38</v>
      </c>
      <c r="J1501" s="1">
        <f t="shared" si="73"/>
        <v>43.25</v>
      </c>
      <c r="K1501" s="1">
        <v>2</v>
      </c>
      <c r="L1501" s="1">
        <v>7</v>
      </c>
      <c r="M1501" s="1">
        <v>9</v>
      </c>
      <c r="P1501" s="2" t="s">
        <v>551</v>
      </c>
      <c r="Q1501" s="2" t="s">
        <v>551</v>
      </c>
      <c r="R1501" s="2" t="s">
        <v>551</v>
      </c>
      <c r="S1501" s="1">
        <v>37</v>
      </c>
    </row>
    <row r="1502" spans="1:19" x14ac:dyDescent="0.25">
      <c r="A1502" s="12">
        <v>45190</v>
      </c>
      <c r="B1502" s="14" t="s">
        <v>1514</v>
      </c>
      <c r="C1502" s="1">
        <v>5</v>
      </c>
      <c r="D1502" s="1">
        <v>14</v>
      </c>
      <c r="E1502" s="1">
        <v>19</v>
      </c>
      <c r="F1502" s="1">
        <f t="shared" si="71"/>
        <v>48.75</v>
      </c>
      <c r="G1502" s="1">
        <v>26</v>
      </c>
      <c r="H1502" s="1">
        <f t="shared" si="72"/>
        <v>23.25</v>
      </c>
      <c r="I1502" s="1">
        <v>45</v>
      </c>
      <c r="J1502" s="1">
        <f t="shared" si="73"/>
        <v>47.5</v>
      </c>
      <c r="K1502" s="1">
        <v>3</v>
      </c>
      <c r="L1502" s="1">
        <v>5</v>
      </c>
      <c r="M1502" s="1">
        <v>8</v>
      </c>
      <c r="P1502" s="2" t="s">
        <v>551</v>
      </c>
      <c r="Q1502" s="2" t="s">
        <v>551</v>
      </c>
      <c r="R1502" s="2" t="s">
        <v>551</v>
      </c>
      <c r="S1502" s="1">
        <v>38</v>
      </c>
    </row>
    <row r="1503" spans="1:19" x14ac:dyDescent="0.25">
      <c r="A1503" s="12">
        <v>45197</v>
      </c>
      <c r="B1503" s="14" t="s">
        <v>1515</v>
      </c>
      <c r="C1503" s="1">
        <v>10</v>
      </c>
      <c r="D1503" s="1">
        <v>17</v>
      </c>
      <c r="E1503" s="1">
        <v>27</v>
      </c>
      <c r="F1503" s="1">
        <f t="shared" si="71"/>
        <v>47.25</v>
      </c>
      <c r="G1503" s="1">
        <v>21</v>
      </c>
      <c r="H1503" s="1">
        <f t="shared" si="72"/>
        <v>31.25</v>
      </c>
      <c r="I1503" s="1">
        <v>47</v>
      </c>
      <c r="J1503" s="1">
        <f t="shared" si="73"/>
        <v>48.25</v>
      </c>
      <c r="K1503" s="1">
        <v>5</v>
      </c>
      <c r="L1503" s="1">
        <v>7</v>
      </c>
      <c r="M1503" s="1">
        <v>12</v>
      </c>
      <c r="P1503" s="2" t="s">
        <v>551</v>
      </c>
      <c r="Q1503" s="2" t="s">
        <v>551</v>
      </c>
      <c r="R1503" s="2" t="s">
        <v>551</v>
      </c>
      <c r="S1503" s="1">
        <v>39</v>
      </c>
    </row>
    <row r="1504" spans="1:19" x14ac:dyDescent="0.25">
      <c r="A1504" s="12">
        <v>45204</v>
      </c>
      <c r="B1504" s="14" t="s">
        <v>1516</v>
      </c>
      <c r="C1504" s="1">
        <v>9</v>
      </c>
      <c r="D1504" s="1">
        <v>21</v>
      </c>
      <c r="E1504" s="1">
        <v>30</v>
      </c>
      <c r="F1504" s="1">
        <f t="shared" si="71"/>
        <v>42.25</v>
      </c>
      <c r="G1504" s="1">
        <v>29</v>
      </c>
      <c r="H1504" s="1">
        <f t="shared" si="72"/>
        <v>32.5</v>
      </c>
      <c r="I1504" s="1">
        <v>50</v>
      </c>
      <c r="J1504" s="1">
        <f t="shared" si="73"/>
        <v>51</v>
      </c>
      <c r="K1504" s="1">
        <v>6</v>
      </c>
      <c r="L1504" s="1">
        <v>13</v>
      </c>
      <c r="M1504" s="1">
        <v>19</v>
      </c>
      <c r="P1504" s="2" t="s">
        <v>551</v>
      </c>
      <c r="Q1504" s="2" t="s">
        <v>551</v>
      </c>
      <c r="R1504" s="2" t="s">
        <v>551</v>
      </c>
      <c r="S1504" s="1">
        <v>40</v>
      </c>
    </row>
    <row r="1505" spans="1:19" x14ac:dyDescent="0.25">
      <c r="A1505" s="12">
        <v>45211</v>
      </c>
      <c r="B1505" s="14" t="s">
        <v>1517</v>
      </c>
      <c r="C1505" s="1">
        <v>9</v>
      </c>
      <c r="D1505" s="1">
        <v>18</v>
      </c>
      <c r="E1505" s="1">
        <v>27</v>
      </c>
      <c r="F1505" s="1">
        <f t="shared" si="71"/>
        <v>37.25</v>
      </c>
      <c r="G1505" s="1">
        <v>30</v>
      </c>
      <c r="H1505" s="1">
        <f t="shared" si="72"/>
        <v>32.75</v>
      </c>
      <c r="I1505" s="1">
        <v>46</v>
      </c>
      <c r="J1505" s="1">
        <f t="shared" si="73"/>
        <v>57</v>
      </c>
      <c r="K1505" s="1">
        <v>4</v>
      </c>
      <c r="L1505" s="1">
        <v>15</v>
      </c>
      <c r="M1505" s="1">
        <v>19</v>
      </c>
      <c r="P1505" s="2" t="s">
        <v>551</v>
      </c>
      <c r="Q1505" s="2" t="s">
        <v>551</v>
      </c>
      <c r="R1505" s="2" t="s">
        <v>551</v>
      </c>
      <c r="S1505" s="1">
        <v>41</v>
      </c>
    </row>
    <row r="1506" spans="1:19" x14ac:dyDescent="0.25">
      <c r="A1506" s="12">
        <v>45218</v>
      </c>
      <c r="B1506" s="14" t="s">
        <v>1518</v>
      </c>
      <c r="C1506" s="1">
        <v>11</v>
      </c>
      <c r="D1506" s="1">
        <v>25</v>
      </c>
      <c r="E1506" s="1">
        <v>36</v>
      </c>
      <c r="F1506" s="1">
        <f t="shared" si="71"/>
        <v>40.5</v>
      </c>
      <c r="G1506" s="1">
        <v>33</v>
      </c>
      <c r="H1506" s="1">
        <f t="shared" si="72"/>
        <v>35</v>
      </c>
      <c r="I1506" s="1">
        <v>35</v>
      </c>
      <c r="J1506" s="1">
        <f t="shared" si="73"/>
        <v>47.75</v>
      </c>
      <c r="K1506" s="1">
        <v>6</v>
      </c>
      <c r="L1506" s="1">
        <v>11</v>
      </c>
      <c r="M1506" s="1">
        <v>17</v>
      </c>
      <c r="P1506" s="2" t="s">
        <v>551</v>
      </c>
      <c r="Q1506" s="2" t="s">
        <v>551</v>
      </c>
      <c r="R1506" s="2" t="s">
        <v>551</v>
      </c>
      <c r="S1506" s="1">
        <v>42</v>
      </c>
    </row>
    <row r="1507" spans="1:19" x14ac:dyDescent="0.25">
      <c r="A1507" s="12">
        <v>45225</v>
      </c>
      <c r="B1507" s="14" t="s">
        <v>1519</v>
      </c>
      <c r="C1507" s="1">
        <v>12</v>
      </c>
      <c r="D1507" s="1">
        <v>26</v>
      </c>
      <c r="E1507" s="1">
        <v>38</v>
      </c>
      <c r="F1507" s="1">
        <f t="shared" si="71"/>
        <v>43.75</v>
      </c>
      <c r="G1507" s="1">
        <v>26</v>
      </c>
      <c r="H1507" s="1">
        <f t="shared" si="72"/>
        <v>29.5</v>
      </c>
      <c r="I1507" s="1">
        <v>32</v>
      </c>
      <c r="J1507" s="1">
        <f t="shared" si="73"/>
        <v>50.5</v>
      </c>
      <c r="K1507" s="1">
        <v>5</v>
      </c>
      <c r="L1507" s="1">
        <v>8</v>
      </c>
      <c r="M1507" s="1">
        <v>13</v>
      </c>
      <c r="P1507" s="2" t="s">
        <v>551</v>
      </c>
      <c r="Q1507" s="2" t="s">
        <v>551</v>
      </c>
      <c r="R1507" s="2" t="s">
        <v>551</v>
      </c>
      <c r="S1507" s="1">
        <v>43</v>
      </c>
    </row>
    <row r="1508" spans="1:19" x14ac:dyDescent="0.25">
      <c r="A1508" s="12">
        <v>45232</v>
      </c>
      <c r="B1508" s="14" t="s">
        <v>1520</v>
      </c>
      <c r="C1508" s="1">
        <v>10</v>
      </c>
      <c r="D1508" s="1">
        <v>16</v>
      </c>
      <c r="E1508" s="1">
        <v>26</v>
      </c>
      <c r="F1508" s="1">
        <f t="shared" si="71"/>
        <v>41</v>
      </c>
      <c r="G1508" s="1">
        <v>28</v>
      </c>
      <c r="H1508" s="1">
        <f t="shared" si="72"/>
        <v>34</v>
      </c>
      <c r="I1508" s="1">
        <v>50</v>
      </c>
      <c r="J1508" s="1">
        <f t="shared" si="73"/>
        <v>51.75</v>
      </c>
      <c r="K1508" s="1">
        <v>5</v>
      </c>
      <c r="L1508" s="1">
        <v>3</v>
      </c>
      <c r="M1508" s="1">
        <v>8</v>
      </c>
      <c r="P1508" s="2" t="s">
        <v>551</v>
      </c>
      <c r="Q1508" s="2" t="s">
        <v>551</v>
      </c>
      <c r="R1508" s="2" t="s">
        <v>551</v>
      </c>
      <c r="S1508" s="1">
        <v>44</v>
      </c>
    </row>
    <row r="1509" spans="1:19" x14ac:dyDescent="0.25">
      <c r="A1509" s="12">
        <v>45239</v>
      </c>
      <c r="B1509" s="14" t="s">
        <v>1521</v>
      </c>
      <c r="C1509" s="1">
        <v>10</v>
      </c>
      <c r="D1509" s="1">
        <v>20</v>
      </c>
      <c r="E1509" s="1">
        <v>30</v>
      </c>
      <c r="F1509" s="1">
        <f t="shared" ref="F1509:F1516" si="74">AVERAGE(E1457,E1405,E1353,E1301)</f>
        <v>41.75</v>
      </c>
      <c r="G1509" s="1">
        <v>26</v>
      </c>
      <c r="H1509" s="1">
        <f t="shared" ref="H1509:H1516" si="75">AVERAGE(G1457,G1405,G1353,G1301)</f>
        <v>33.5</v>
      </c>
      <c r="I1509" s="1">
        <v>48</v>
      </c>
      <c r="J1509" s="1">
        <f t="shared" ref="J1509:J1516" si="76">AVERAGE(I1457,I1405,I1353,I1301)</f>
        <v>56</v>
      </c>
      <c r="K1509" s="1">
        <v>4</v>
      </c>
      <c r="L1509" s="1">
        <v>7</v>
      </c>
      <c r="M1509" s="1">
        <v>11</v>
      </c>
      <c r="P1509" s="2" t="s">
        <v>551</v>
      </c>
      <c r="Q1509" s="2" t="s">
        <v>551</v>
      </c>
      <c r="R1509" s="2" t="s">
        <v>551</v>
      </c>
      <c r="S1509" s="1">
        <v>45</v>
      </c>
    </row>
    <row r="1510" spans="1:19" x14ac:dyDescent="0.25">
      <c r="A1510" s="12">
        <v>45246</v>
      </c>
      <c r="B1510" s="14" t="s">
        <v>1522</v>
      </c>
      <c r="C1510" s="1">
        <v>10</v>
      </c>
      <c r="D1510" s="1">
        <v>21</v>
      </c>
      <c r="E1510" s="1">
        <v>31</v>
      </c>
      <c r="F1510" s="1">
        <f t="shared" si="74"/>
        <v>45</v>
      </c>
      <c r="G1510" s="1">
        <v>22</v>
      </c>
      <c r="H1510" s="1">
        <f t="shared" si="75"/>
        <v>32.25</v>
      </c>
      <c r="I1510" s="1">
        <v>50</v>
      </c>
      <c r="J1510" s="1">
        <f t="shared" si="76"/>
        <v>49.75</v>
      </c>
      <c r="K1510" s="1">
        <v>5</v>
      </c>
      <c r="L1510" s="1">
        <v>12</v>
      </c>
      <c r="M1510" s="1">
        <v>17</v>
      </c>
      <c r="P1510" s="2" t="s">
        <v>551</v>
      </c>
      <c r="Q1510" s="2" t="s">
        <v>551</v>
      </c>
      <c r="R1510" s="2" t="s">
        <v>551</v>
      </c>
      <c r="S1510" s="1">
        <v>46</v>
      </c>
    </row>
    <row r="1511" spans="1:19" x14ac:dyDescent="0.25">
      <c r="A1511" s="12">
        <v>45253</v>
      </c>
      <c r="B1511" s="14" t="s">
        <v>1523</v>
      </c>
      <c r="C1511" s="1">
        <v>10</v>
      </c>
      <c r="D1511" s="1">
        <v>12</v>
      </c>
      <c r="E1511" s="1">
        <v>22</v>
      </c>
      <c r="F1511" s="1">
        <f t="shared" si="74"/>
        <v>37.75</v>
      </c>
      <c r="G1511" s="1">
        <v>29</v>
      </c>
      <c r="H1511" s="1">
        <f t="shared" si="75"/>
        <v>30.5</v>
      </c>
      <c r="I1511" s="1">
        <v>49</v>
      </c>
      <c r="J1511" s="1">
        <f t="shared" si="76"/>
        <v>43.75</v>
      </c>
      <c r="K1511" s="2" t="s">
        <v>551</v>
      </c>
      <c r="L1511" s="2" t="s">
        <v>551</v>
      </c>
      <c r="M1511" s="2" t="s">
        <v>551</v>
      </c>
      <c r="P1511" s="2" t="s">
        <v>551</v>
      </c>
      <c r="Q1511" s="2" t="s">
        <v>551</v>
      </c>
      <c r="R1511" s="2" t="s">
        <v>551</v>
      </c>
      <c r="S1511" s="1">
        <v>47</v>
      </c>
    </row>
    <row r="1512" spans="1:19" x14ac:dyDescent="0.25">
      <c r="A1512" s="12">
        <v>45260</v>
      </c>
      <c r="B1512" s="14" t="s">
        <v>1524</v>
      </c>
      <c r="C1512" s="1">
        <v>12</v>
      </c>
      <c r="D1512" s="1">
        <v>11</v>
      </c>
      <c r="E1512" s="1">
        <v>23</v>
      </c>
      <c r="F1512" s="1">
        <f t="shared" si="74"/>
        <v>41.75</v>
      </c>
      <c r="G1512" s="1">
        <v>28</v>
      </c>
      <c r="H1512" s="1">
        <f t="shared" si="75"/>
        <v>31.5</v>
      </c>
      <c r="I1512" s="1">
        <v>56</v>
      </c>
      <c r="J1512" s="1">
        <f t="shared" si="76"/>
        <v>47.75</v>
      </c>
      <c r="K1512" s="1">
        <v>4</v>
      </c>
      <c r="L1512" s="1">
        <v>4</v>
      </c>
      <c r="M1512" s="1">
        <v>8</v>
      </c>
      <c r="P1512" s="2" t="s">
        <v>551</v>
      </c>
      <c r="Q1512" s="2" t="s">
        <v>551</v>
      </c>
      <c r="R1512" s="2" t="s">
        <v>551</v>
      </c>
      <c r="S1512" s="1">
        <v>48</v>
      </c>
    </row>
    <row r="1513" spans="1:19" x14ac:dyDescent="0.25">
      <c r="A1513" s="12">
        <v>45267</v>
      </c>
      <c r="B1513" s="49" t="s">
        <v>1525</v>
      </c>
      <c r="C1513" s="1">
        <v>11</v>
      </c>
      <c r="D1513" s="1">
        <v>11</v>
      </c>
      <c r="E1513" s="1">
        <v>22</v>
      </c>
      <c r="F1513" s="1">
        <f t="shared" si="74"/>
        <v>37.5</v>
      </c>
      <c r="G1513" s="1">
        <v>33</v>
      </c>
      <c r="H1513" s="1">
        <f t="shared" si="75"/>
        <v>33.75</v>
      </c>
      <c r="I1513" s="1">
        <v>52</v>
      </c>
      <c r="J1513" s="1">
        <f t="shared" si="76"/>
        <v>56.25</v>
      </c>
      <c r="K1513" s="1">
        <v>4</v>
      </c>
      <c r="L1513" s="1">
        <v>5</v>
      </c>
      <c r="M1513" s="1">
        <v>9</v>
      </c>
      <c r="P1513" s="2" t="s">
        <v>551</v>
      </c>
      <c r="Q1513" s="2" t="s">
        <v>551</v>
      </c>
      <c r="R1513" s="2" t="s">
        <v>551</v>
      </c>
      <c r="S1513" s="1">
        <v>49</v>
      </c>
    </row>
    <row r="1514" spans="1:19" x14ac:dyDescent="0.25">
      <c r="A1514" s="12">
        <v>45274</v>
      </c>
      <c r="B1514" s="48" t="s">
        <v>1526</v>
      </c>
      <c r="C1514" s="1">
        <v>10</v>
      </c>
      <c r="D1514" s="1">
        <v>9</v>
      </c>
      <c r="E1514" s="1">
        <v>19</v>
      </c>
      <c r="F1514" s="1">
        <f t="shared" si="74"/>
        <v>39.5</v>
      </c>
      <c r="G1514" s="1">
        <v>34</v>
      </c>
      <c r="H1514" s="1">
        <f t="shared" si="75"/>
        <v>33</v>
      </c>
      <c r="I1514" s="1">
        <v>47</v>
      </c>
      <c r="J1514" s="1">
        <f t="shared" si="76"/>
        <v>51.25</v>
      </c>
      <c r="K1514" s="1">
        <v>4</v>
      </c>
      <c r="L1514" s="1">
        <v>10</v>
      </c>
      <c r="M1514" s="1">
        <v>14</v>
      </c>
      <c r="P1514" s="2" t="s">
        <v>551</v>
      </c>
      <c r="Q1514" s="2" t="s">
        <v>551</v>
      </c>
      <c r="R1514" s="2" t="s">
        <v>551</v>
      </c>
      <c r="S1514" s="1">
        <v>50</v>
      </c>
    </row>
    <row r="1515" spans="1:19" x14ac:dyDescent="0.25">
      <c r="A1515" s="12">
        <v>45281</v>
      </c>
      <c r="B1515" s="48" t="s">
        <v>1527</v>
      </c>
      <c r="C1515" s="1">
        <v>11</v>
      </c>
      <c r="D1515" s="1">
        <v>11</v>
      </c>
      <c r="E1515" s="1">
        <v>22</v>
      </c>
      <c r="F1515" s="1">
        <f t="shared" si="74"/>
        <v>37.75</v>
      </c>
      <c r="G1515" s="1">
        <v>31</v>
      </c>
      <c r="H1515" s="1">
        <f t="shared" si="75"/>
        <v>33.75</v>
      </c>
      <c r="I1515" s="1">
        <v>40</v>
      </c>
      <c r="J1515" s="1">
        <f t="shared" si="76"/>
        <v>48.75</v>
      </c>
      <c r="K1515" s="1">
        <v>5</v>
      </c>
      <c r="L1515" s="1">
        <v>12</v>
      </c>
      <c r="M1515" s="1">
        <v>17</v>
      </c>
      <c r="P1515" s="2" t="s">
        <v>551</v>
      </c>
      <c r="Q1515" s="2" t="s">
        <v>551</v>
      </c>
      <c r="R1515" s="2" t="s">
        <v>551</v>
      </c>
      <c r="S1515" s="1">
        <v>51</v>
      </c>
    </row>
    <row r="1516" spans="1:19" x14ac:dyDescent="0.25">
      <c r="A1516" s="12">
        <v>45288</v>
      </c>
      <c r="B1516" s="48" t="s">
        <v>1528</v>
      </c>
      <c r="C1516" s="1">
        <v>8</v>
      </c>
      <c r="D1516" s="1">
        <v>15</v>
      </c>
      <c r="E1516" s="1">
        <v>23</v>
      </c>
      <c r="F1516" s="1">
        <f t="shared" si="74"/>
        <v>36</v>
      </c>
      <c r="G1516" s="1">
        <v>24</v>
      </c>
      <c r="H1516" s="1">
        <f t="shared" si="75"/>
        <v>30</v>
      </c>
      <c r="I1516" s="1">
        <v>55</v>
      </c>
      <c r="J1516" s="1">
        <f t="shared" si="76"/>
        <v>53</v>
      </c>
      <c r="K1516" s="1">
        <v>6</v>
      </c>
      <c r="L1516" s="1">
        <v>8</v>
      </c>
      <c r="M1516" s="1">
        <v>14</v>
      </c>
      <c r="P1516" s="2" t="s">
        <v>551</v>
      </c>
      <c r="Q1516" s="2" t="s">
        <v>551</v>
      </c>
      <c r="R1516" s="2" t="s">
        <v>551</v>
      </c>
      <c r="S1516" s="1">
        <v>52</v>
      </c>
    </row>
    <row r="1517" spans="1:19" x14ac:dyDescent="0.25">
      <c r="A1517" s="12">
        <v>45295</v>
      </c>
      <c r="B1517" s="48" t="s">
        <v>1529</v>
      </c>
      <c r="C1517" s="1">
        <v>9</v>
      </c>
      <c r="D1517" s="1">
        <v>21</v>
      </c>
      <c r="E1517" s="1">
        <v>30</v>
      </c>
      <c r="F1517" s="1">
        <f t="shared" ref="F1517:F1548" si="77">AVERAGE(E1465,E1413,E1361,E1309)</f>
        <v>37.5</v>
      </c>
      <c r="G1517" s="1">
        <v>26</v>
      </c>
      <c r="H1517" s="1">
        <f t="shared" ref="H1517:H1548" si="78">AVERAGE(G1465,G1413,G1361,G1309)</f>
        <v>31.75</v>
      </c>
      <c r="I1517" s="1">
        <v>53</v>
      </c>
      <c r="J1517" s="1">
        <f t="shared" ref="J1517:J1548" si="79">AVERAGE(I1465,I1413,I1361,I1309)</f>
        <v>57.5</v>
      </c>
      <c r="K1517" s="1">
        <v>5</v>
      </c>
      <c r="L1517" s="1">
        <v>6</v>
      </c>
      <c r="M1517" s="1">
        <v>11</v>
      </c>
      <c r="P1517" s="2" t="s">
        <v>551</v>
      </c>
      <c r="Q1517" s="2" t="s">
        <v>551</v>
      </c>
      <c r="R1517" s="2" t="s">
        <v>551</v>
      </c>
      <c r="S1517" s="1">
        <v>1</v>
      </c>
    </row>
    <row r="1518" spans="1:19" x14ac:dyDescent="0.25">
      <c r="A1518" s="12">
        <v>45302</v>
      </c>
      <c r="B1518" s="48" t="s">
        <v>1530</v>
      </c>
      <c r="C1518" s="1">
        <v>9</v>
      </c>
      <c r="D1518" s="1">
        <v>20</v>
      </c>
      <c r="E1518" s="1">
        <v>29</v>
      </c>
      <c r="F1518" s="1">
        <f t="shared" si="77"/>
        <v>39</v>
      </c>
      <c r="G1518" s="1">
        <v>29</v>
      </c>
      <c r="H1518" s="1">
        <f t="shared" si="78"/>
        <v>33.75</v>
      </c>
      <c r="I1518" s="1">
        <v>55</v>
      </c>
      <c r="J1518" s="1">
        <f t="shared" si="79"/>
        <v>56.5</v>
      </c>
      <c r="K1518" s="1">
        <v>5</v>
      </c>
      <c r="L1518" s="1">
        <v>6</v>
      </c>
      <c r="M1518" s="1">
        <v>11</v>
      </c>
      <c r="P1518" s="2" t="s">
        <v>551</v>
      </c>
      <c r="Q1518" s="2" t="s">
        <v>551</v>
      </c>
      <c r="R1518" s="2" t="s">
        <v>551</v>
      </c>
      <c r="S1518" s="1">
        <v>2</v>
      </c>
    </row>
    <row r="1519" spans="1:19" x14ac:dyDescent="0.25">
      <c r="A1519" s="12">
        <v>45309</v>
      </c>
      <c r="B1519" s="48" t="s">
        <v>1531</v>
      </c>
      <c r="C1519" s="1">
        <v>10</v>
      </c>
      <c r="D1519" s="1">
        <v>25</v>
      </c>
      <c r="E1519" s="1">
        <v>35</v>
      </c>
      <c r="F1519" s="1">
        <f t="shared" si="77"/>
        <v>40.25</v>
      </c>
      <c r="G1519" s="1">
        <v>35</v>
      </c>
      <c r="H1519" s="1">
        <f t="shared" si="78"/>
        <v>35.5</v>
      </c>
      <c r="I1519" s="1">
        <v>54</v>
      </c>
      <c r="J1519" s="1">
        <f t="shared" si="79"/>
        <v>48.25</v>
      </c>
      <c r="K1519" s="1">
        <v>5</v>
      </c>
      <c r="L1519" s="1">
        <v>10</v>
      </c>
      <c r="M1519" s="1">
        <v>15</v>
      </c>
      <c r="P1519" s="2" t="s">
        <v>551</v>
      </c>
      <c r="Q1519" s="2" t="s">
        <v>551</v>
      </c>
      <c r="R1519" s="2" t="s">
        <v>551</v>
      </c>
      <c r="S1519" s="1">
        <v>3</v>
      </c>
    </row>
    <row r="1520" spans="1:19" x14ac:dyDescent="0.25">
      <c r="A1520" s="12">
        <v>45316</v>
      </c>
      <c r="B1520" s="48" t="s">
        <v>1532</v>
      </c>
      <c r="C1520" s="1">
        <v>11</v>
      </c>
      <c r="D1520" s="1">
        <v>21</v>
      </c>
      <c r="E1520" s="1">
        <v>32</v>
      </c>
      <c r="F1520" s="1">
        <f t="shared" si="77"/>
        <v>43.5</v>
      </c>
      <c r="G1520" s="1">
        <v>27</v>
      </c>
      <c r="H1520" s="1">
        <f t="shared" si="78"/>
        <v>32.25</v>
      </c>
      <c r="I1520" s="1">
        <v>45</v>
      </c>
      <c r="J1520" s="1">
        <f t="shared" si="79"/>
        <v>49.75</v>
      </c>
      <c r="K1520" s="1">
        <v>5</v>
      </c>
      <c r="L1520" s="1">
        <v>16</v>
      </c>
      <c r="M1520" s="1">
        <v>21</v>
      </c>
      <c r="P1520" s="2" t="s">
        <v>551</v>
      </c>
      <c r="Q1520" s="2" t="s">
        <v>551</v>
      </c>
      <c r="R1520" s="2" t="s">
        <v>551</v>
      </c>
      <c r="S1520" s="1">
        <v>4</v>
      </c>
    </row>
    <row r="1521" spans="1:19" x14ac:dyDescent="0.25">
      <c r="A1521" s="12">
        <v>45323</v>
      </c>
      <c r="B1521" s="48" t="s">
        <v>1533</v>
      </c>
      <c r="C1521" s="1">
        <v>11</v>
      </c>
      <c r="D1521" s="1">
        <v>30</v>
      </c>
      <c r="E1521" s="1">
        <v>41</v>
      </c>
      <c r="F1521" s="1">
        <f t="shared" si="77"/>
        <v>37</v>
      </c>
      <c r="G1521" s="1">
        <v>26</v>
      </c>
      <c r="H1521" s="1">
        <f t="shared" si="78"/>
        <v>34</v>
      </c>
      <c r="I1521" s="1">
        <v>45</v>
      </c>
      <c r="J1521" s="1">
        <f t="shared" si="79"/>
        <v>47.5</v>
      </c>
      <c r="K1521" s="1">
        <v>6</v>
      </c>
      <c r="L1521" s="1">
        <v>13</v>
      </c>
      <c r="M1521" s="1">
        <v>19</v>
      </c>
      <c r="P1521" s="2" t="s">
        <v>551</v>
      </c>
      <c r="Q1521" s="2" t="s">
        <v>551</v>
      </c>
      <c r="R1521" s="2" t="s">
        <v>551</v>
      </c>
      <c r="S1521" s="1">
        <v>5</v>
      </c>
    </row>
    <row r="1522" spans="1:19" x14ac:dyDescent="0.25">
      <c r="A1522" s="12">
        <v>45330</v>
      </c>
      <c r="B1522" s="48" t="s">
        <v>1534</v>
      </c>
      <c r="C1522" s="1">
        <v>12</v>
      </c>
      <c r="D1522" s="1">
        <v>26</v>
      </c>
      <c r="E1522" s="1">
        <v>38</v>
      </c>
      <c r="F1522" s="1">
        <f t="shared" si="77"/>
        <v>34.75</v>
      </c>
      <c r="G1522" s="1">
        <v>32</v>
      </c>
      <c r="H1522" s="1">
        <f t="shared" si="78"/>
        <v>34.75</v>
      </c>
      <c r="I1522" s="1">
        <v>56</v>
      </c>
      <c r="J1522" s="1">
        <f t="shared" si="79"/>
        <v>50.5</v>
      </c>
      <c r="K1522" s="1">
        <v>5</v>
      </c>
      <c r="L1522" s="1">
        <v>16</v>
      </c>
      <c r="M1522" s="1">
        <v>21</v>
      </c>
      <c r="P1522" s="2" t="s">
        <v>551</v>
      </c>
      <c r="Q1522" s="2" t="s">
        <v>551</v>
      </c>
      <c r="R1522" s="2" t="s">
        <v>551</v>
      </c>
      <c r="S1522" s="1">
        <v>6</v>
      </c>
    </row>
    <row r="1523" spans="1:19" x14ac:dyDescent="0.25">
      <c r="A1523" s="12">
        <v>45337</v>
      </c>
      <c r="B1523" s="48" t="s">
        <v>1535</v>
      </c>
      <c r="C1523" s="1">
        <v>12</v>
      </c>
      <c r="D1523" s="1">
        <v>30</v>
      </c>
      <c r="E1523" s="1">
        <v>42</v>
      </c>
      <c r="F1523" s="1">
        <f t="shared" si="77"/>
        <v>33</v>
      </c>
      <c r="G1523" s="1">
        <v>29</v>
      </c>
      <c r="H1523" s="1">
        <f t="shared" si="78"/>
        <v>33.25</v>
      </c>
      <c r="I1523" s="1">
        <v>40</v>
      </c>
      <c r="J1523" s="1">
        <f t="shared" si="79"/>
        <v>45</v>
      </c>
      <c r="K1523" s="1">
        <v>4</v>
      </c>
      <c r="L1523" s="1">
        <v>17</v>
      </c>
      <c r="M1523" s="1">
        <v>21</v>
      </c>
      <c r="P1523" s="2" t="s">
        <v>551</v>
      </c>
      <c r="Q1523" s="2" t="s">
        <v>551</v>
      </c>
      <c r="R1523" s="2" t="s">
        <v>551</v>
      </c>
      <c r="S1523" s="1">
        <v>7</v>
      </c>
    </row>
    <row r="1524" spans="1:19" x14ac:dyDescent="0.25">
      <c r="A1524" s="12">
        <v>45344</v>
      </c>
      <c r="B1524" s="48" t="s">
        <v>1536</v>
      </c>
      <c r="C1524" s="1">
        <v>12</v>
      </c>
      <c r="D1524" s="1">
        <v>29</v>
      </c>
      <c r="E1524" s="1">
        <v>41</v>
      </c>
      <c r="F1524" s="1">
        <f t="shared" si="77"/>
        <v>31.75</v>
      </c>
      <c r="G1524" s="1">
        <v>31</v>
      </c>
      <c r="H1524" s="1">
        <f t="shared" si="78"/>
        <v>30.75</v>
      </c>
      <c r="I1524" s="1">
        <v>40</v>
      </c>
      <c r="J1524" s="1">
        <f t="shared" si="79"/>
        <v>48</v>
      </c>
      <c r="K1524" s="1">
        <v>5</v>
      </c>
      <c r="L1524" s="1">
        <v>20</v>
      </c>
      <c r="M1524" s="1">
        <v>25</v>
      </c>
      <c r="P1524" s="2" t="s">
        <v>551</v>
      </c>
      <c r="Q1524" s="2" t="s">
        <v>551</v>
      </c>
      <c r="R1524" s="2" t="s">
        <v>551</v>
      </c>
      <c r="S1524" s="1">
        <v>8</v>
      </c>
    </row>
    <row r="1525" spans="1:19" x14ac:dyDescent="0.25">
      <c r="A1525" s="12">
        <v>45351</v>
      </c>
      <c r="B1525" s="48" t="s">
        <v>1537</v>
      </c>
      <c r="C1525" s="1">
        <v>11</v>
      </c>
      <c r="D1525" s="1">
        <v>14</v>
      </c>
      <c r="E1525" s="1">
        <v>25</v>
      </c>
      <c r="F1525" s="1">
        <f t="shared" si="77"/>
        <v>33.25</v>
      </c>
      <c r="G1525" s="1">
        <v>35</v>
      </c>
      <c r="H1525" s="1">
        <f t="shared" si="78"/>
        <v>31.75</v>
      </c>
      <c r="I1525" s="1">
        <v>53</v>
      </c>
      <c r="J1525" s="1">
        <f t="shared" si="79"/>
        <v>44.75</v>
      </c>
      <c r="K1525" s="1">
        <v>5</v>
      </c>
      <c r="L1525" s="1">
        <v>19</v>
      </c>
      <c r="M1525" s="1">
        <v>24</v>
      </c>
      <c r="P1525" s="2" t="s">
        <v>551</v>
      </c>
      <c r="Q1525" s="2" t="s">
        <v>551</v>
      </c>
      <c r="R1525" s="2" t="s">
        <v>551</v>
      </c>
      <c r="S1525" s="1">
        <v>9</v>
      </c>
    </row>
    <row r="1526" spans="1:19" x14ac:dyDescent="0.25">
      <c r="A1526" s="12">
        <v>45358</v>
      </c>
      <c r="B1526" s="48" t="s">
        <v>1538</v>
      </c>
      <c r="C1526" s="1">
        <v>10</v>
      </c>
      <c r="D1526" s="1">
        <v>20</v>
      </c>
      <c r="E1526" s="1">
        <v>30</v>
      </c>
      <c r="F1526" s="1">
        <f t="shared" si="77"/>
        <v>30</v>
      </c>
      <c r="G1526" s="1">
        <v>27</v>
      </c>
      <c r="H1526" s="1">
        <f t="shared" si="78"/>
        <v>36.5</v>
      </c>
      <c r="I1526" s="1">
        <v>55</v>
      </c>
      <c r="J1526" s="1">
        <f t="shared" si="79"/>
        <v>50.25</v>
      </c>
      <c r="K1526" s="1">
        <v>3</v>
      </c>
      <c r="L1526" s="1">
        <v>16</v>
      </c>
      <c r="M1526" s="1">
        <v>19</v>
      </c>
      <c r="P1526" s="2" t="s">
        <v>551</v>
      </c>
      <c r="Q1526" s="2" t="s">
        <v>551</v>
      </c>
      <c r="R1526" s="2" t="s">
        <v>551</v>
      </c>
      <c r="S1526" s="1">
        <v>10</v>
      </c>
    </row>
    <row r="1527" spans="1:19" x14ac:dyDescent="0.25">
      <c r="A1527" s="12">
        <v>45365</v>
      </c>
      <c r="B1527" s="48" t="s">
        <v>1539</v>
      </c>
      <c r="C1527" s="1">
        <v>11</v>
      </c>
      <c r="D1527" s="1">
        <v>17</v>
      </c>
      <c r="E1527" s="1">
        <v>28</v>
      </c>
      <c r="F1527" s="1">
        <f t="shared" si="77"/>
        <v>25.25</v>
      </c>
      <c r="G1527" s="1">
        <v>35</v>
      </c>
      <c r="H1527" s="1">
        <f t="shared" si="78"/>
        <v>31.5</v>
      </c>
      <c r="I1527" s="1">
        <v>48</v>
      </c>
      <c r="J1527" s="1">
        <f t="shared" si="79"/>
        <v>49</v>
      </c>
      <c r="K1527" s="1">
        <v>3</v>
      </c>
      <c r="L1527" s="1">
        <v>15</v>
      </c>
      <c r="M1527" s="1">
        <v>18</v>
      </c>
      <c r="P1527" s="2" t="s">
        <v>551</v>
      </c>
      <c r="Q1527" s="2" t="s">
        <v>551</v>
      </c>
      <c r="R1527" s="2" t="s">
        <v>551</v>
      </c>
      <c r="S1527" s="1">
        <v>11</v>
      </c>
    </row>
    <row r="1528" spans="1:19" x14ac:dyDescent="0.25">
      <c r="A1528" s="12">
        <v>45372</v>
      </c>
      <c r="B1528" s="48" t="s">
        <v>1540</v>
      </c>
      <c r="C1528" s="1">
        <v>10</v>
      </c>
      <c r="D1528" s="1">
        <v>18</v>
      </c>
      <c r="E1528" s="1">
        <v>28</v>
      </c>
      <c r="F1528" s="1">
        <f t="shared" si="77"/>
        <v>28.75</v>
      </c>
      <c r="G1528" s="1">
        <v>34</v>
      </c>
      <c r="H1528" s="1">
        <f t="shared" si="78"/>
        <v>32.5</v>
      </c>
      <c r="I1528" s="1">
        <v>43</v>
      </c>
      <c r="J1528" s="1">
        <f t="shared" si="79"/>
        <v>45</v>
      </c>
      <c r="K1528" s="1">
        <v>5</v>
      </c>
      <c r="L1528" s="1">
        <v>20</v>
      </c>
      <c r="M1528" s="1">
        <v>25</v>
      </c>
      <c r="P1528" s="2" t="s">
        <v>551</v>
      </c>
      <c r="Q1528" s="2" t="s">
        <v>551</v>
      </c>
      <c r="R1528" s="2" t="s">
        <v>551</v>
      </c>
      <c r="S1528" s="1">
        <v>12</v>
      </c>
    </row>
    <row r="1529" spans="1:19" x14ac:dyDescent="0.25">
      <c r="A1529" s="12">
        <v>45379</v>
      </c>
      <c r="B1529" s="48" t="s">
        <v>1541</v>
      </c>
      <c r="C1529" s="1">
        <v>10</v>
      </c>
      <c r="D1529" s="1">
        <v>16</v>
      </c>
      <c r="E1529" s="1">
        <v>26</v>
      </c>
      <c r="F1529" s="1">
        <f t="shared" si="77"/>
        <v>30.25</v>
      </c>
      <c r="G1529" s="1">
        <v>29</v>
      </c>
      <c r="H1529" s="1">
        <f t="shared" si="78"/>
        <v>32</v>
      </c>
      <c r="I1529" s="1">
        <v>45</v>
      </c>
      <c r="J1529" s="1">
        <f t="shared" si="79"/>
        <v>40.75</v>
      </c>
      <c r="K1529" s="1">
        <v>5</v>
      </c>
      <c r="L1529" s="1">
        <v>20</v>
      </c>
      <c r="M1529" s="1">
        <v>25</v>
      </c>
      <c r="P1529" s="2" t="s">
        <v>551</v>
      </c>
      <c r="Q1529" s="2" t="s">
        <v>551</v>
      </c>
      <c r="R1529" s="2" t="s">
        <v>551</v>
      </c>
      <c r="S1529" s="1">
        <v>13</v>
      </c>
    </row>
    <row r="1530" spans="1:19" x14ac:dyDescent="0.25">
      <c r="A1530" s="12">
        <v>45386</v>
      </c>
      <c r="B1530" s="48" t="s">
        <v>1542</v>
      </c>
      <c r="C1530" s="1">
        <v>8</v>
      </c>
      <c r="D1530" s="1">
        <v>15</v>
      </c>
      <c r="E1530" s="1">
        <v>23</v>
      </c>
      <c r="F1530" s="1">
        <f t="shared" si="77"/>
        <v>27.25</v>
      </c>
      <c r="G1530" s="1">
        <v>29</v>
      </c>
      <c r="H1530" s="1">
        <f t="shared" si="78"/>
        <v>32.5</v>
      </c>
      <c r="I1530" s="1">
        <v>36</v>
      </c>
      <c r="J1530" s="1">
        <f t="shared" si="79"/>
        <v>48</v>
      </c>
      <c r="K1530" s="1">
        <v>5</v>
      </c>
      <c r="L1530" s="1">
        <v>12</v>
      </c>
      <c r="M1530" s="1">
        <v>17</v>
      </c>
      <c r="P1530" s="2" t="s">
        <v>551</v>
      </c>
      <c r="Q1530" s="2" t="s">
        <v>551</v>
      </c>
      <c r="R1530" s="2" t="s">
        <v>551</v>
      </c>
      <c r="S1530" s="1">
        <v>14</v>
      </c>
    </row>
    <row r="1531" spans="1:19" x14ac:dyDescent="0.25">
      <c r="A1531" s="12">
        <v>45393</v>
      </c>
      <c r="B1531" s="48" t="s">
        <v>1543</v>
      </c>
      <c r="C1531" s="1">
        <v>7</v>
      </c>
      <c r="D1531" s="1">
        <v>16</v>
      </c>
      <c r="E1531" s="1">
        <v>23</v>
      </c>
      <c r="F1531" s="1">
        <f t="shared" si="77"/>
        <v>27.75</v>
      </c>
      <c r="G1531" s="1">
        <v>22</v>
      </c>
      <c r="H1531" s="1">
        <f t="shared" si="78"/>
        <v>30.25</v>
      </c>
      <c r="I1531" s="1">
        <v>41</v>
      </c>
      <c r="J1531" s="1">
        <f t="shared" si="79"/>
        <v>44.5</v>
      </c>
      <c r="K1531" s="1">
        <v>5</v>
      </c>
      <c r="L1531" s="1">
        <v>11</v>
      </c>
      <c r="M1531" s="1">
        <v>16</v>
      </c>
      <c r="P1531" s="2" t="s">
        <v>551</v>
      </c>
      <c r="Q1531" s="2" t="s">
        <v>551</v>
      </c>
      <c r="R1531" s="2" t="s">
        <v>551</v>
      </c>
      <c r="S1531" s="1">
        <v>15</v>
      </c>
    </row>
    <row r="1532" spans="1:19" x14ac:dyDescent="0.25">
      <c r="A1532" s="12">
        <v>45400</v>
      </c>
      <c r="B1532" s="48" t="s">
        <v>1544</v>
      </c>
      <c r="C1532" s="1">
        <v>7</v>
      </c>
      <c r="D1532" s="1">
        <v>15</v>
      </c>
      <c r="E1532" s="1">
        <v>22</v>
      </c>
      <c r="F1532" s="1">
        <f t="shared" si="77"/>
        <v>27.5</v>
      </c>
      <c r="G1532" s="1">
        <v>28</v>
      </c>
      <c r="H1532" s="1">
        <f t="shared" si="78"/>
        <v>33</v>
      </c>
      <c r="I1532" s="1">
        <v>35</v>
      </c>
      <c r="J1532" s="1">
        <f t="shared" si="79"/>
        <v>38.5</v>
      </c>
      <c r="K1532" s="1">
        <v>5</v>
      </c>
      <c r="L1532" s="1">
        <v>10</v>
      </c>
      <c r="M1532" s="1">
        <v>15</v>
      </c>
      <c r="P1532" s="2" t="s">
        <v>551</v>
      </c>
      <c r="Q1532" s="2" t="s">
        <v>551</v>
      </c>
      <c r="R1532" s="2" t="s">
        <v>551</v>
      </c>
      <c r="S1532" s="1">
        <v>16</v>
      </c>
    </row>
    <row r="1533" spans="1:19" x14ac:dyDescent="0.25">
      <c r="A1533" s="12">
        <v>45407</v>
      </c>
      <c r="B1533" s="48" t="s">
        <v>1545</v>
      </c>
      <c r="C1533" s="1">
        <v>8</v>
      </c>
      <c r="D1533" s="1">
        <v>16</v>
      </c>
      <c r="E1533" s="1">
        <v>24</v>
      </c>
      <c r="F1533" s="1">
        <f t="shared" si="77"/>
        <v>21.5</v>
      </c>
      <c r="G1533" s="1">
        <v>24</v>
      </c>
      <c r="H1533" s="1">
        <f t="shared" si="78"/>
        <v>34.75</v>
      </c>
      <c r="I1533" s="1">
        <v>37</v>
      </c>
      <c r="J1533" s="1">
        <f t="shared" si="79"/>
        <v>42</v>
      </c>
      <c r="K1533" s="1">
        <v>4</v>
      </c>
      <c r="L1533" s="1">
        <v>5</v>
      </c>
      <c r="M1533" s="1">
        <v>9</v>
      </c>
      <c r="P1533" s="2" t="s">
        <v>551</v>
      </c>
      <c r="Q1533" s="2" t="s">
        <v>551</v>
      </c>
      <c r="R1533" s="2" t="s">
        <v>551</v>
      </c>
      <c r="S1533" s="1">
        <v>17</v>
      </c>
    </row>
    <row r="1534" spans="1:19" x14ac:dyDescent="0.25">
      <c r="A1534" s="12">
        <v>45414</v>
      </c>
      <c r="B1534" s="48" t="s">
        <v>1546</v>
      </c>
      <c r="C1534" s="1">
        <v>8</v>
      </c>
      <c r="D1534" s="1">
        <v>11</v>
      </c>
      <c r="E1534" s="1">
        <v>19</v>
      </c>
      <c r="F1534" s="1">
        <f t="shared" si="77"/>
        <v>18.5</v>
      </c>
      <c r="G1534" s="1">
        <v>26</v>
      </c>
      <c r="H1534" s="1">
        <f t="shared" si="78"/>
        <v>28.75</v>
      </c>
      <c r="I1534" s="1">
        <v>31</v>
      </c>
      <c r="J1534" s="1">
        <f t="shared" si="79"/>
        <v>43.25</v>
      </c>
      <c r="K1534" s="1">
        <v>3</v>
      </c>
      <c r="L1534" s="1">
        <v>4</v>
      </c>
      <c r="M1534" s="1">
        <v>7</v>
      </c>
      <c r="P1534" s="2" t="s">
        <v>551</v>
      </c>
      <c r="Q1534" s="2" t="s">
        <v>551</v>
      </c>
      <c r="R1534" s="2" t="s">
        <v>551</v>
      </c>
      <c r="S1534" s="1">
        <v>18</v>
      </c>
    </row>
    <row r="1535" spans="1:19" x14ac:dyDescent="0.25">
      <c r="A1535" s="12">
        <v>45421</v>
      </c>
      <c r="B1535" s="48" t="s">
        <v>1547</v>
      </c>
      <c r="C1535" s="1">
        <v>8</v>
      </c>
      <c r="D1535" s="1">
        <v>6</v>
      </c>
      <c r="E1535" s="1">
        <v>14</v>
      </c>
      <c r="F1535" s="1">
        <f t="shared" si="77"/>
        <v>19</v>
      </c>
      <c r="G1535" s="1">
        <v>27</v>
      </c>
      <c r="H1535" s="1">
        <f t="shared" si="78"/>
        <v>28.5</v>
      </c>
      <c r="I1535" s="1">
        <v>29</v>
      </c>
      <c r="J1535" s="1">
        <f t="shared" si="79"/>
        <v>48.25</v>
      </c>
      <c r="K1535" s="1">
        <v>3</v>
      </c>
      <c r="L1535" s="1">
        <v>4</v>
      </c>
      <c r="M1535" s="1">
        <v>7</v>
      </c>
      <c r="P1535" s="2" t="s">
        <v>551</v>
      </c>
      <c r="Q1535" s="2" t="s">
        <v>551</v>
      </c>
      <c r="R1535" s="2" t="s">
        <v>551</v>
      </c>
      <c r="S1535" s="1">
        <v>19</v>
      </c>
    </row>
    <row r="1536" spans="1:19" x14ac:dyDescent="0.25">
      <c r="A1536" s="12">
        <v>45428</v>
      </c>
      <c r="B1536" s="48" t="s">
        <v>1548</v>
      </c>
      <c r="C1536" s="1">
        <v>7</v>
      </c>
      <c r="D1536" s="1">
        <v>8</v>
      </c>
      <c r="E1536" s="1">
        <v>15</v>
      </c>
      <c r="F1536" s="1">
        <f t="shared" si="77"/>
        <v>23</v>
      </c>
      <c r="G1536" s="1">
        <v>19</v>
      </c>
      <c r="H1536" s="1">
        <f t="shared" si="78"/>
        <v>29</v>
      </c>
      <c r="I1536" s="1">
        <v>36</v>
      </c>
      <c r="J1536" s="1">
        <f t="shared" si="79"/>
        <v>41.25</v>
      </c>
      <c r="K1536" s="1">
        <v>3</v>
      </c>
      <c r="L1536" s="1">
        <v>7</v>
      </c>
      <c r="M1536" s="1">
        <v>10</v>
      </c>
      <c r="P1536" s="2" t="s">
        <v>551</v>
      </c>
      <c r="Q1536" s="2" t="s">
        <v>551</v>
      </c>
      <c r="R1536" s="2" t="s">
        <v>551</v>
      </c>
      <c r="S1536" s="1">
        <v>20</v>
      </c>
    </row>
    <row r="1537" spans="1:19" x14ac:dyDescent="0.25">
      <c r="A1537" s="12">
        <v>45435</v>
      </c>
      <c r="B1537" s="48" t="s">
        <v>1549</v>
      </c>
      <c r="C1537" s="1">
        <v>9</v>
      </c>
      <c r="D1537" s="1">
        <v>16</v>
      </c>
      <c r="E1537" s="1">
        <v>25</v>
      </c>
      <c r="F1537" s="1">
        <f t="shared" si="77"/>
        <v>22.5</v>
      </c>
      <c r="G1537" s="1">
        <v>19</v>
      </c>
      <c r="H1537" s="1">
        <f t="shared" si="78"/>
        <v>30.5</v>
      </c>
      <c r="I1537" s="1">
        <v>32</v>
      </c>
      <c r="J1537" s="1">
        <f t="shared" si="79"/>
        <v>37.75</v>
      </c>
      <c r="K1537" s="1">
        <v>3</v>
      </c>
      <c r="L1537" s="1">
        <v>7</v>
      </c>
      <c r="M1537" s="1">
        <v>10</v>
      </c>
      <c r="P1537" s="2" t="s">
        <v>551</v>
      </c>
      <c r="Q1537" s="2" t="s">
        <v>551</v>
      </c>
      <c r="R1537" s="2" t="s">
        <v>551</v>
      </c>
      <c r="S1537" s="1">
        <v>21</v>
      </c>
    </row>
    <row r="1538" spans="1:19" x14ac:dyDescent="0.25">
      <c r="A1538" s="12">
        <v>45442</v>
      </c>
      <c r="B1538" s="48" t="s">
        <v>1550</v>
      </c>
      <c r="C1538" s="1">
        <v>6</v>
      </c>
      <c r="D1538" s="1">
        <v>11</v>
      </c>
      <c r="E1538" s="1">
        <v>17</v>
      </c>
      <c r="F1538" s="1">
        <f t="shared" si="77"/>
        <v>23</v>
      </c>
      <c r="G1538" s="1">
        <v>23</v>
      </c>
      <c r="H1538" s="1">
        <f t="shared" si="78"/>
        <v>28.5</v>
      </c>
      <c r="I1538" s="1">
        <v>39</v>
      </c>
      <c r="J1538" s="1">
        <f t="shared" si="79"/>
        <v>42.25</v>
      </c>
      <c r="K1538" s="1">
        <v>4</v>
      </c>
      <c r="L1538" s="1">
        <v>5</v>
      </c>
      <c r="M1538" s="1">
        <v>9</v>
      </c>
      <c r="P1538" s="2" t="s">
        <v>551</v>
      </c>
      <c r="Q1538" s="2" t="s">
        <v>551</v>
      </c>
      <c r="R1538" s="2" t="s">
        <v>551</v>
      </c>
      <c r="S1538" s="1">
        <v>22</v>
      </c>
    </row>
    <row r="1539" spans="1:19" x14ac:dyDescent="0.25">
      <c r="A1539" s="12">
        <v>45449</v>
      </c>
      <c r="B1539" s="48" t="s">
        <v>1551</v>
      </c>
      <c r="C1539" s="1">
        <v>7</v>
      </c>
      <c r="D1539" s="1">
        <v>11</v>
      </c>
      <c r="E1539" s="1">
        <v>18</v>
      </c>
      <c r="F1539" s="1">
        <f t="shared" si="77"/>
        <v>25</v>
      </c>
      <c r="G1539" s="1">
        <v>23</v>
      </c>
      <c r="H1539" s="1">
        <f t="shared" si="78"/>
        <v>28</v>
      </c>
      <c r="I1539" s="1">
        <v>33</v>
      </c>
      <c r="J1539" s="1">
        <f t="shared" si="79"/>
        <v>38.5</v>
      </c>
      <c r="K1539" s="1">
        <v>5</v>
      </c>
      <c r="L1539" s="1">
        <v>5</v>
      </c>
      <c r="M1539" s="1">
        <v>10</v>
      </c>
      <c r="P1539" s="2" t="s">
        <v>551</v>
      </c>
      <c r="Q1539" s="2" t="s">
        <v>551</v>
      </c>
      <c r="R1539" s="2" t="s">
        <v>551</v>
      </c>
      <c r="S1539" s="1">
        <v>23</v>
      </c>
    </row>
    <row r="1540" spans="1:19" x14ac:dyDescent="0.25">
      <c r="A1540" s="12">
        <v>45456</v>
      </c>
      <c r="B1540" s="48" t="s">
        <v>1552</v>
      </c>
      <c r="C1540" s="1">
        <v>8</v>
      </c>
      <c r="D1540" s="1">
        <v>7</v>
      </c>
      <c r="E1540" s="1">
        <v>15</v>
      </c>
      <c r="F1540" s="1">
        <f t="shared" si="77"/>
        <v>19</v>
      </c>
      <c r="G1540" s="1">
        <v>27</v>
      </c>
      <c r="H1540" s="1">
        <f t="shared" si="78"/>
        <v>29</v>
      </c>
      <c r="I1540" s="1">
        <v>29</v>
      </c>
      <c r="J1540" s="1">
        <f t="shared" si="79"/>
        <v>34</v>
      </c>
      <c r="K1540" s="1">
        <v>2</v>
      </c>
      <c r="L1540" s="1">
        <v>1</v>
      </c>
      <c r="M1540" s="1">
        <v>3</v>
      </c>
      <c r="P1540" s="2" t="s">
        <v>551</v>
      </c>
      <c r="Q1540" s="2" t="s">
        <v>551</v>
      </c>
      <c r="R1540" s="2" t="s">
        <v>551</v>
      </c>
      <c r="S1540" s="1">
        <v>24</v>
      </c>
    </row>
    <row r="1541" spans="1:19" x14ac:dyDescent="0.25">
      <c r="A1541" s="12">
        <v>45463</v>
      </c>
      <c r="B1541" s="48" t="s">
        <v>1553</v>
      </c>
      <c r="C1541" s="1">
        <v>6</v>
      </c>
      <c r="D1541" s="1">
        <v>11</v>
      </c>
      <c r="E1541" s="1">
        <v>17</v>
      </c>
      <c r="F1541" s="1">
        <f t="shared" si="77"/>
        <v>20.25</v>
      </c>
      <c r="G1541" s="1">
        <v>18</v>
      </c>
      <c r="H1541" s="1">
        <f t="shared" si="78"/>
        <v>23.75</v>
      </c>
      <c r="I1541" s="1">
        <v>32</v>
      </c>
      <c r="J1541" s="1">
        <f t="shared" si="79"/>
        <v>33</v>
      </c>
      <c r="K1541" s="1">
        <v>2</v>
      </c>
      <c r="L1541" s="1">
        <v>7</v>
      </c>
      <c r="M1541" s="1">
        <v>9</v>
      </c>
      <c r="P1541" s="2" t="s">
        <v>551</v>
      </c>
      <c r="Q1541" s="2" t="s">
        <v>551</v>
      </c>
      <c r="R1541" s="2" t="s">
        <v>551</v>
      </c>
      <c r="S1541" s="1">
        <v>25</v>
      </c>
    </row>
    <row r="1542" spans="1:19" x14ac:dyDescent="0.25">
      <c r="A1542" s="12">
        <v>45470</v>
      </c>
      <c r="B1542" s="48" t="s">
        <v>1554</v>
      </c>
      <c r="C1542" s="1">
        <v>7</v>
      </c>
      <c r="D1542" s="1">
        <v>8</v>
      </c>
      <c r="E1542" s="1">
        <v>15</v>
      </c>
      <c r="F1542" s="1">
        <f t="shared" si="77"/>
        <v>19</v>
      </c>
      <c r="G1542" s="1">
        <v>18</v>
      </c>
      <c r="H1542" s="1">
        <f t="shared" si="78"/>
        <v>24.75</v>
      </c>
      <c r="I1542" s="1">
        <v>45</v>
      </c>
      <c r="J1542" s="1">
        <f t="shared" si="79"/>
        <v>39.5</v>
      </c>
      <c r="K1542" s="1">
        <v>4</v>
      </c>
      <c r="L1542" s="1">
        <v>7</v>
      </c>
      <c r="M1542" s="1">
        <v>11</v>
      </c>
      <c r="P1542" s="2" t="s">
        <v>551</v>
      </c>
      <c r="Q1542" s="2" t="s">
        <v>551</v>
      </c>
      <c r="R1542" s="2" t="s">
        <v>551</v>
      </c>
      <c r="S1542" s="1">
        <v>26</v>
      </c>
    </row>
    <row r="1543" spans="1:19" x14ac:dyDescent="0.25">
      <c r="A1543" s="12">
        <v>45477</v>
      </c>
      <c r="B1543" s="48" t="s">
        <v>1555</v>
      </c>
      <c r="C1543" s="1">
        <v>6</v>
      </c>
      <c r="D1543" s="1">
        <v>5</v>
      </c>
      <c r="E1543" s="1">
        <v>11</v>
      </c>
      <c r="F1543" s="1">
        <f t="shared" si="77"/>
        <v>23</v>
      </c>
      <c r="G1543" s="1">
        <v>20</v>
      </c>
      <c r="H1543" s="1">
        <f t="shared" si="78"/>
        <v>22.5</v>
      </c>
      <c r="I1543" s="1">
        <v>40</v>
      </c>
      <c r="J1543" s="1">
        <f t="shared" si="79"/>
        <v>33.75</v>
      </c>
      <c r="K1543" s="2" t="s">
        <v>551</v>
      </c>
      <c r="L1543" s="2" t="s">
        <v>551</v>
      </c>
      <c r="M1543" s="2" t="s">
        <v>551</v>
      </c>
      <c r="P1543" s="2" t="s">
        <v>551</v>
      </c>
      <c r="Q1543" s="2" t="s">
        <v>551</v>
      </c>
      <c r="R1543" s="2" t="s">
        <v>551</v>
      </c>
      <c r="S1543" s="1">
        <v>27</v>
      </c>
    </row>
    <row r="1544" spans="1:19" x14ac:dyDescent="0.25">
      <c r="A1544" s="12">
        <v>45484</v>
      </c>
      <c r="B1544" s="48" t="s">
        <v>1556</v>
      </c>
      <c r="C1544" s="1">
        <v>7</v>
      </c>
      <c r="D1544" s="1">
        <v>4</v>
      </c>
      <c r="E1544" s="1">
        <v>11</v>
      </c>
      <c r="F1544" s="1">
        <f t="shared" si="77"/>
        <v>24.25</v>
      </c>
      <c r="G1544" s="1">
        <v>23</v>
      </c>
      <c r="H1544" s="1">
        <f t="shared" si="78"/>
        <v>24.25</v>
      </c>
      <c r="I1544" s="1">
        <v>40</v>
      </c>
      <c r="J1544" s="1">
        <f t="shared" si="79"/>
        <v>39.5</v>
      </c>
      <c r="K1544" s="1">
        <v>2</v>
      </c>
      <c r="L1544" s="1">
        <v>10</v>
      </c>
      <c r="M1544" s="1">
        <v>12</v>
      </c>
      <c r="P1544" s="2" t="s">
        <v>551</v>
      </c>
      <c r="Q1544" s="2" t="s">
        <v>551</v>
      </c>
      <c r="R1544" s="2" t="s">
        <v>551</v>
      </c>
      <c r="S1544" s="1">
        <v>28</v>
      </c>
    </row>
    <row r="1545" spans="1:19" x14ac:dyDescent="0.25">
      <c r="A1545" s="12">
        <v>45491</v>
      </c>
      <c r="B1545" s="48" t="s">
        <v>1557</v>
      </c>
      <c r="C1545" s="1">
        <v>7</v>
      </c>
      <c r="D1545" s="1">
        <v>7</v>
      </c>
      <c r="E1545" s="1">
        <v>14</v>
      </c>
      <c r="F1545" s="1">
        <f t="shared" si="77"/>
        <v>23.5</v>
      </c>
      <c r="G1545" s="1">
        <v>20</v>
      </c>
      <c r="H1545" s="1">
        <f t="shared" si="78"/>
        <v>25</v>
      </c>
      <c r="I1545" s="1">
        <v>37</v>
      </c>
      <c r="J1545" s="1">
        <f t="shared" si="79"/>
        <v>42.25</v>
      </c>
      <c r="K1545" s="1">
        <v>4</v>
      </c>
      <c r="L1545" s="1">
        <v>10</v>
      </c>
      <c r="M1545" s="1">
        <v>14</v>
      </c>
      <c r="P1545" s="2" t="s">
        <v>551</v>
      </c>
      <c r="Q1545" s="2" t="s">
        <v>551</v>
      </c>
      <c r="R1545" s="2" t="s">
        <v>551</v>
      </c>
      <c r="S1545" s="1">
        <v>29</v>
      </c>
    </row>
    <row r="1546" spans="1:19" x14ac:dyDescent="0.25">
      <c r="A1546" s="12">
        <v>45498</v>
      </c>
      <c r="B1546" s="48" t="s">
        <v>1558</v>
      </c>
      <c r="C1546" s="1">
        <v>9</v>
      </c>
      <c r="D1546" s="1">
        <v>12</v>
      </c>
      <c r="E1546" s="1">
        <v>21</v>
      </c>
      <c r="F1546" s="1">
        <f t="shared" si="77"/>
        <v>25</v>
      </c>
      <c r="G1546" s="1">
        <v>22</v>
      </c>
      <c r="H1546" s="1">
        <f t="shared" si="78"/>
        <v>26.5</v>
      </c>
      <c r="I1546" s="1">
        <v>38</v>
      </c>
      <c r="J1546" s="1">
        <f t="shared" si="79"/>
        <v>39</v>
      </c>
      <c r="K1546" s="1">
        <v>2</v>
      </c>
      <c r="L1546" s="1">
        <v>8</v>
      </c>
      <c r="M1546" s="1">
        <v>10</v>
      </c>
      <c r="P1546" s="2" t="s">
        <v>551</v>
      </c>
      <c r="Q1546" s="2" t="s">
        <v>551</v>
      </c>
      <c r="R1546" s="2" t="s">
        <v>551</v>
      </c>
      <c r="S1546" s="1">
        <v>30</v>
      </c>
    </row>
    <row r="1547" spans="1:19" x14ac:dyDescent="0.25">
      <c r="A1547" s="12">
        <v>45505</v>
      </c>
      <c r="B1547" s="48" t="s">
        <v>1559</v>
      </c>
      <c r="C1547" s="1">
        <v>7</v>
      </c>
      <c r="D1547" s="1">
        <v>9</v>
      </c>
      <c r="E1547" s="1">
        <v>16</v>
      </c>
      <c r="F1547" s="1">
        <f t="shared" si="77"/>
        <v>23.75</v>
      </c>
      <c r="G1547" s="1">
        <v>26</v>
      </c>
      <c r="H1547" s="1">
        <f t="shared" si="78"/>
        <v>29.5</v>
      </c>
      <c r="I1547" s="1">
        <v>35</v>
      </c>
      <c r="J1547" s="1">
        <f t="shared" si="79"/>
        <v>35.5</v>
      </c>
      <c r="K1547" s="1">
        <v>4</v>
      </c>
      <c r="L1547" s="1">
        <v>7</v>
      </c>
      <c r="M1547" s="1">
        <v>11</v>
      </c>
      <c r="P1547" s="2" t="s">
        <v>551</v>
      </c>
      <c r="Q1547" s="2" t="s">
        <v>551</v>
      </c>
      <c r="R1547" s="2" t="s">
        <v>551</v>
      </c>
      <c r="S1547" s="1">
        <v>31</v>
      </c>
    </row>
    <row r="1548" spans="1:19" x14ac:dyDescent="0.25">
      <c r="A1548" s="12">
        <v>45512</v>
      </c>
      <c r="B1548" s="48" t="s">
        <v>1560</v>
      </c>
      <c r="C1548" s="1">
        <v>7</v>
      </c>
      <c r="D1548" s="1">
        <v>7</v>
      </c>
      <c r="E1548" s="1">
        <v>14</v>
      </c>
      <c r="F1548" s="1">
        <f t="shared" si="77"/>
        <v>25</v>
      </c>
      <c r="G1548" s="1">
        <v>20</v>
      </c>
      <c r="H1548" s="1">
        <f t="shared" si="78"/>
        <v>26</v>
      </c>
      <c r="I1548" s="1">
        <v>32</v>
      </c>
      <c r="J1548" s="1">
        <f t="shared" si="79"/>
        <v>35.25</v>
      </c>
      <c r="K1548" s="1">
        <v>5</v>
      </c>
      <c r="L1548" s="1">
        <v>3</v>
      </c>
      <c r="M1548" s="1">
        <v>8</v>
      </c>
      <c r="P1548" s="2" t="s">
        <v>551</v>
      </c>
      <c r="Q1548" s="2" t="s">
        <v>551</v>
      </c>
      <c r="R1548" s="2" t="s">
        <v>551</v>
      </c>
      <c r="S1548" s="1">
        <v>32</v>
      </c>
    </row>
    <row r="1549" spans="1:19" x14ac:dyDescent="0.25">
      <c r="A1549" s="12">
        <v>45519</v>
      </c>
      <c r="B1549" s="48" t="s">
        <v>1561</v>
      </c>
      <c r="C1549" s="1">
        <v>8</v>
      </c>
      <c r="D1549" s="1">
        <v>5</v>
      </c>
      <c r="E1549" s="1">
        <v>13</v>
      </c>
      <c r="F1549" s="1">
        <f t="shared" ref="F1549:F1568" si="80">AVERAGE(E1497,E1445,E1393,E1341)</f>
        <v>22.25</v>
      </c>
      <c r="G1549" s="1">
        <v>21</v>
      </c>
      <c r="H1549" s="1">
        <f t="shared" ref="H1549:H1568" si="81">AVERAGE(G1497,G1445,G1393,G1341)</f>
        <v>25.75</v>
      </c>
      <c r="I1549" s="1">
        <v>44</v>
      </c>
      <c r="J1549" s="1">
        <f t="shared" ref="J1549:J1568" si="82">AVERAGE(I1497,I1445,I1393,I1341)</f>
        <v>34.25</v>
      </c>
      <c r="K1549" s="1">
        <v>3</v>
      </c>
      <c r="L1549" s="1">
        <v>8</v>
      </c>
      <c r="M1549" s="1">
        <v>11</v>
      </c>
      <c r="P1549" s="2" t="s">
        <v>551</v>
      </c>
      <c r="Q1549" s="2" t="s">
        <v>551</v>
      </c>
      <c r="R1549" s="2" t="s">
        <v>551</v>
      </c>
      <c r="S1549" s="1">
        <v>33</v>
      </c>
    </row>
    <row r="1550" spans="1:19" x14ac:dyDescent="0.25">
      <c r="A1550" s="12">
        <v>45526</v>
      </c>
      <c r="B1550" s="48" t="s">
        <v>1562</v>
      </c>
      <c r="C1550" s="1">
        <v>6</v>
      </c>
      <c r="D1550" s="1">
        <v>11</v>
      </c>
      <c r="E1550" s="1">
        <v>17</v>
      </c>
      <c r="F1550" s="1">
        <f t="shared" si="80"/>
        <v>23.75</v>
      </c>
      <c r="G1550" s="1">
        <v>20</v>
      </c>
      <c r="H1550" s="1">
        <f t="shared" si="81"/>
        <v>22.25</v>
      </c>
      <c r="I1550" s="1">
        <v>44</v>
      </c>
      <c r="J1550" s="1">
        <f t="shared" si="82"/>
        <v>37.5</v>
      </c>
      <c r="K1550" s="1">
        <v>5</v>
      </c>
      <c r="L1550" s="1">
        <v>7</v>
      </c>
      <c r="M1550" s="1">
        <v>12</v>
      </c>
      <c r="P1550" s="2" t="s">
        <v>551</v>
      </c>
      <c r="Q1550" s="2" t="s">
        <v>551</v>
      </c>
      <c r="R1550" s="2" t="s">
        <v>551</v>
      </c>
      <c r="S1550" s="1">
        <v>34</v>
      </c>
    </row>
    <row r="1551" spans="1:19" x14ac:dyDescent="0.25">
      <c r="A1551" s="12">
        <v>45533</v>
      </c>
      <c r="B1551" s="48" t="s">
        <v>1563</v>
      </c>
      <c r="C1551" s="1">
        <v>9</v>
      </c>
      <c r="D1551" s="1">
        <v>15</v>
      </c>
      <c r="E1551" s="1">
        <v>24</v>
      </c>
      <c r="F1551" s="1">
        <f t="shared" si="80"/>
        <v>19</v>
      </c>
      <c r="G1551" s="1">
        <v>25</v>
      </c>
      <c r="H1551" s="1">
        <f t="shared" si="81"/>
        <v>21.25</v>
      </c>
      <c r="I1551" s="1">
        <v>47</v>
      </c>
      <c r="J1551" s="1">
        <f t="shared" si="82"/>
        <v>39.5</v>
      </c>
      <c r="K1551" s="1">
        <v>3</v>
      </c>
      <c r="L1551" s="1">
        <v>5</v>
      </c>
      <c r="M1551" s="1">
        <v>8</v>
      </c>
      <c r="P1551" s="2" t="s">
        <v>551</v>
      </c>
      <c r="Q1551" s="2" t="s">
        <v>551</v>
      </c>
      <c r="R1551" s="2" t="s">
        <v>551</v>
      </c>
      <c r="S1551" s="1">
        <v>35</v>
      </c>
    </row>
    <row r="1552" spans="1:19" x14ac:dyDescent="0.25">
      <c r="A1552" s="12">
        <v>45540</v>
      </c>
      <c r="B1552" s="48" t="s">
        <v>1564</v>
      </c>
      <c r="C1552" s="1">
        <v>11</v>
      </c>
      <c r="D1552" s="1">
        <v>20</v>
      </c>
      <c r="E1552" s="1">
        <v>31</v>
      </c>
      <c r="F1552" s="1">
        <f t="shared" si="80"/>
        <v>25.75</v>
      </c>
      <c r="G1552" s="1">
        <v>24</v>
      </c>
      <c r="H1552" s="1">
        <f t="shared" si="81"/>
        <v>23</v>
      </c>
      <c r="I1552" s="1">
        <v>50</v>
      </c>
      <c r="J1552" s="1">
        <f t="shared" si="82"/>
        <v>41.25</v>
      </c>
      <c r="K1552" s="1">
        <v>2</v>
      </c>
      <c r="L1552" s="1">
        <v>11</v>
      </c>
      <c r="M1552" s="1">
        <v>13</v>
      </c>
      <c r="P1552" s="2" t="s">
        <v>551</v>
      </c>
      <c r="Q1552" s="2" t="s">
        <v>551</v>
      </c>
      <c r="R1552" s="2" t="s">
        <v>551</v>
      </c>
      <c r="S1552" s="1">
        <v>36</v>
      </c>
    </row>
    <row r="1553" spans="1:19" x14ac:dyDescent="0.25">
      <c r="A1553" s="12">
        <v>45547</v>
      </c>
      <c r="B1553" s="48" t="s">
        <v>1565</v>
      </c>
      <c r="C1553" s="1">
        <v>4</v>
      </c>
      <c r="D1553" s="1">
        <v>27</v>
      </c>
      <c r="E1553" s="1">
        <v>31</v>
      </c>
      <c r="F1553" s="1">
        <f t="shared" si="80"/>
        <v>30.25</v>
      </c>
      <c r="G1553" s="1">
        <v>20</v>
      </c>
      <c r="H1553" s="1">
        <f t="shared" si="81"/>
        <v>21.75</v>
      </c>
      <c r="I1553" s="1">
        <v>60</v>
      </c>
      <c r="J1553" s="1">
        <f t="shared" si="82"/>
        <v>42</v>
      </c>
      <c r="K1553" s="1">
        <v>3</v>
      </c>
      <c r="L1553" s="1">
        <v>5</v>
      </c>
      <c r="M1553" s="1">
        <v>8</v>
      </c>
      <c r="P1553" s="2" t="s">
        <v>551</v>
      </c>
      <c r="Q1553" s="2" t="s">
        <v>551</v>
      </c>
      <c r="R1553" s="2" t="s">
        <v>551</v>
      </c>
      <c r="S1553" s="1">
        <v>37</v>
      </c>
    </row>
    <row r="1554" spans="1:19" x14ac:dyDescent="0.25">
      <c r="A1554" s="12">
        <v>45554</v>
      </c>
      <c r="B1554" s="48" t="s">
        <v>1566</v>
      </c>
      <c r="C1554" s="1">
        <v>15</v>
      </c>
      <c r="D1554" s="1">
        <v>29</v>
      </c>
      <c r="E1554" s="1">
        <v>44</v>
      </c>
      <c r="F1554" s="1">
        <f t="shared" si="80"/>
        <v>43.25</v>
      </c>
      <c r="G1554" s="1">
        <v>25</v>
      </c>
      <c r="H1554" s="1">
        <f t="shared" si="81"/>
        <v>22.5</v>
      </c>
      <c r="I1554" s="1">
        <v>49</v>
      </c>
      <c r="J1554" s="1">
        <f t="shared" si="82"/>
        <v>49</v>
      </c>
      <c r="K1554" s="1">
        <v>4</v>
      </c>
      <c r="L1554" s="1">
        <v>5</v>
      </c>
      <c r="M1554" s="1">
        <v>9</v>
      </c>
      <c r="P1554" s="2" t="s">
        <v>551</v>
      </c>
      <c r="Q1554" s="2" t="s">
        <v>551</v>
      </c>
      <c r="R1554" s="2" t="s">
        <v>551</v>
      </c>
      <c r="S1554" s="1">
        <v>38</v>
      </c>
    </row>
    <row r="1555" spans="1:19" x14ac:dyDescent="0.25">
      <c r="A1555" s="12">
        <v>45561</v>
      </c>
      <c r="B1555" s="48" t="s">
        <v>1567</v>
      </c>
      <c r="C1555" s="1">
        <v>13</v>
      </c>
      <c r="D1555" s="1">
        <v>21</v>
      </c>
      <c r="E1555" s="1">
        <v>34</v>
      </c>
      <c r="F1555" s="1">
        <f t="shared" si="80"/>
        <v>43.25</v>
      </c>
      <c r="G1555" s="1">
        <v>34</v>
      </c>
      <c r="H1555" s="1">
        <f t="shared" si="81"/>
        <v>27.75</v>
      </c>
      <c r="I1555" s="1">
        <v>48</v>
      </c>
      <c r="J1555" s="1">
        <f t="shared" si="82"/>
        <v>48.75</v>
      </c>
      <c r="K1555" s="1">
        <v>2</v>
      </c>
      <c r="L1555" s="1">
        <v>2</v>
      </c>
      <c r="M1555" s="1">
        <v>4</v>
      </c>
      <c r="P1555" s="2" t="s">
        <v>551</v>
      </c>
      <c r="Q1555" s="2" t="s">
        <v>551</v>
      </c>
      <c r="R1555" s="2" t="s">
        <v>551</v>
      </c>
      <c r="S1555" s="1">
        <v>39</v>
      </c>
    </row>
    <row r="1556" spans="1:19" x14ac:dyDescent="0.25">
      <c r="A1556" s="12">
        <v>45568</v>
      </c>
      <c r="B1556" s="48" t="s">
        <v>1568</v>
      </c>
      <c r="C1556" s="1">
        <v>11</v>
      </c>
      <c r="D1556" s="1">
        <v>28</v>
      </c>
      <c r="E1556" s="1">
        <v>39</v>
      </c>
      <c r="F1556" s="1">
        <f t="shared" si="80"/>
        <v>40.5</v>
      </c>
      <c r="G1556" s="1">
        <v>35</v>
      </c>
      <c r="H1556" s="1">
        <f t="shared" si="81"/>
        <v>32</v>
      </c>
      <c r="I1556" s="1">
        <v>51</v>
      </c>
      <c r="J1556" s="1">
        <f t="shared" si="82"/>
        <v>52.25</v>
      </c>
      <c r="K1556" s="1">
        <v>5</v>
      </c>
      <c r="L1556" s="1">
        <v>8</v>
      </c>
      <c r="M1556" s="1">
        <v>13</v>
      </c>
      <c r="P1556" s="2" t="s">
        <v>551</v>
      </c>
      <c r="Q1556" s="2" t="s">
        <v>551</v>
      </c>
      <c r="R1556" s="2" t="s">
        <v>551</v>
      </c>
      <c r="S1556" s="1">
        <v>40</v>
      </c>
    </row>
    <row r="1557" spans="1:19" x14ac:dyDescent="0.25">
      <c r="A1557" s="12">
        <v>45575</v>
      </c>
      <c r="B1557" s="53">
        <v>45575</v>
      </c>
      <c r="C1557" s="1">
        <v>12</v>
      </c>
      <c r="D1557" s="1">
        <v>26</v>
      </c>
      <c r="E1557" s="1">
        <v>38</v>
      </c>
      <c r="F1557" s="1">
        <f t="shared" si="80"/>
        <v>35.75</v>
      </c>
      <c r="G1557" s="1">
        <v>27</v>
      </c>
      <c r="H1557" s="1">
        <f t="shared" si="81"/>
        <v>31.75</v>
      </c>
      <c r="I1557" s="1">
        <v>53</v>
      </c>
      <c r="J1557" s="1">
        <f t="shared" si="82"/>
        <v>55.25</v>
      </c>
      <c r="K1557" s="1">
        <v>5</v>
      </c>
      <c r="L1557" s="1">
        <v>8</v>
      </c>
      <c r="M1557" s="1">
        <v>13</v>
      </c>
      <c r="P1557" s="2" t="s">
        <v>551</v>
      </c>
      <c r="Q1557" s="2" t="s">
        <v>551</v>
      </c>
      <c r="R1557" s="2" t="s">
        <v>551</v>
      </c>
      <c r="S1557" s="1">
        <v>41</v>
      </c>
    </row>
    <row r="1558" spans="1:19" x14ac:dyDescent="0.25">
      <c r="A1558" s="12">
        <v>45582</v>
      </c>
      <c r="B1558" s="48" t="s">
        <v>1569</v>
      </c>
      <c r="C1558" s="1">
        <v>13</v>
      </c>
      <c r="D1558" s="1">
        <v>24</v>
      </c>
      <c r="E1558" s="1">
        <v>37</v>
      </c>
      <c r="F1558" s="1">
        <f t="shared" si="80"/>
        <v>42.75</v>
      </c>
      <c r="G1558" s="1">
        <v>37</v>
      </c>
      <c r="H1558" s="1">
        <f t="shared" si="81"/>
        <v>34.25</v>
      </c>
      <c r="I1558" s="1">
        <v>53</v>
      </c>
      <c r="J1558" s="1">
        <f t="shared" si="82"/>
        <v>43.75</v>
      </c>
      <c r="K1558" s="1">
        <v>4</v>
      </c>
      <c r="L1558" s="1">
        <v>10</v>
      </c>
      <c r="M1558" s="1">
        <v>14</v>
      </c>
      <c r="P1558" s="2" t="s">
        <v>551</v>
      </c>
      <c r="Q1558" s="2" t="s">
        <v>551</v>
      </c>
      <c r="R1558" s="2" t="s">
        <v>551</v>
      </c>
      <c r="S1558" s="1">
        <v>42</v>
      </c>
    </row>
    <row r="1559" spans="1:19" x14ac:dyDescent="0.25">
      <c r="A1559" s="12">
        <v>45589</v>
      </c>
      <c r="B1559" s="48" t="s">
        <v>1570</v>
      </c>
      <c r="C1559" s="1">
        <v>14</v>
      </c>
      <c r="D1559" s="1">
        <v>26</v>
      </c>
      <c r="E1559" s="26">
        <v>40</v>
      </c>
      <c r="F1559" s="1">
        <f t="shared" si="80"/>
        <v>42.75</v>
      </c>
      <c r="G1559" s="1">
        <v>32</v>
      </c>
      <c r="H1559" s="1">
        <f t="shared" si="81"/>
        <v>30.5</v>
      </c>
      <c r="I1559" s="26">
        <v>59</v>
      </c>
      <c r="J1559" s="1">
        <f t="shared" si="82"/>
        <v>48.5</v>
      </c>
      <c r="K1559" s="1">
        <v>5</v>
      </c>
      <c r="L1559" s="1">
        <v>7</v>
      </c>
      <c r="M1559" s="1">
        <v>12</v>
      </c>
      <c r="P1559" s="2" t="s">
        <v>551</v>
      </c>
      <c r="Q1559" s="2" t="s">
        <v>551</v>
      </c>
      <c r="R1559" s="2" t="s">
        <v>551</v>
      </c>
      <c r="S1559" s="1">
        <v>43</v>
      </c>
    </row>
    <row r="1560" spans="1:19" x14ac:dyDescent="0.25">
      <c r="A1560" s="12">
        <v>45596</v>
      </c>
      <c r="B1560" s="48" t="s">
        <v>1571</v>
      </c>
      <c r="C1560" s="1">
        <v>11</v>
      </c>
      <c r="D1560" s="1">
        <v>23</v>
      </c>
      <c r="E1560" s="26">
        <v>34</v>
      </c>
      <c r="F1560" s="1">
        <f t="shared" si="80"/>
        <v>38.25</v>
      </c>
      <c r="G1560" s="1">
        <v>38</v>
      </c>
      <c r="H1560" s="1">
        <f t="shared" si="81"/>
        <v>31.25</v>
      </c>
      <c r="I1560" s="26">
        <v>55</v>
      </c>
      <c r="J1560" s="1">
        <f t="shared" si="82"/>
        <v>54.75</v>
      </c>
      <c r="K1560" s="1">
        <v>5</v>
      </c>
      <c r="L1560" s="1">
        <v>8</v>
      </c>
      <c r="M1560" s="1">
        <v>13</v>
      </c>
      <c r="P1560" s="2" t="s">
        <v>551</v>
      </c>
      <c r="Q1560" s="2" t="s">
        <v>551</v>
      </c>
      <c r="R1560" s="2" t="s">
        <v>551</v>
      </c>
      <c r="S1560" s="1">
        <v>44</v>
      </c>
    </row>
    <row r="1561" spans="1:19" x14ac:dyDescent="0.25">
      <c r="A1561" s="12">
        <v>45603</v>
      </c>
      <c r="B1561" s="48" t="s">
        <v>1572</v>
      </c>
      <c r="C1561" s="1">
        <v>15</v>
      </c>
      <c r="D1561" s="1">
        <v>17</v>
      </c>
      <c r="E1561" s="26">
        <v>32</v>
      </c>
      <c r="F1561" s="1">
        <f t="shared" si="80"/>
        <v>41.5</v>
      </c>
      <c r="G1561" s="1">
        <v>34</v>
      </c>
      <c r="H1561" s="1">
        <f t="shared" si="81"/>
        <v>32.25</v>
      </c>
      <c r="I1561" s="26">
        <v>59</v>
      </c>
      <c r="J1561" s="1">
        <f t="shared" si="82"/>
        <v>56</v>
      </c>
      <c r="K1561" s="1">
        <v>3</v>
      </c>
      <c r="L1561" s="1">
        <v>8</v>
      </c>
      <c r="M1561" s="1">
        <v>11</v>
      </c>
      <c r="P1561" s="2" t="s">
        <v>551</v>
      </c>
      <c r="Q1561" s="2" t="s">
        <v>551</v>
      </c>
      <c r="R1561" s="2" t="s">
        <v>551</v>
      </c>
      <c r="S1561" s="1">
        <v>45</v>
      </c>
    </row>
    <row r="1562" spans="1:19" x14ac:dyDescent="0.25">
      <c r="A1562" s="12">
        <v>45610</v>
      </c>
      <c r="B1562" s="48" t="s">
        <v>1573</v>
      </c>
      <c r="C1562" s="1">
        <v>14</v>
      </c>
      <c r="D1562" s="1">
        <v>25</v>
      </c>
      <c r="E1562" s="26">
        <v>39</v>
      </c>
      <c r="F1562" s="1">
        <f t="shared" si="80"/>
        <v>44.25</v>
      </c>
      <c r="G1562" s="1">
        <v>31</v>
      </c>
      <c r="H1562" s="1">
        <f t="shared" si="81"/>
        <v>30.25</v>
      </c>
      <c r="I1562" s="26">
        <v>61</v>
      </c>
      <c r="J1562" s="1">
        <f t="shared" si="82"/>
        <v>51.25</v>
      </c>
      <c r="K1562" s="1">
        <v>5</v>
      </c>
      <c r="L1562" s="1">
        <v>10</v>
      </c>
      <c r="M1562" s="1">
        <v>15</v>
      </c>
      <c r="P1562" s="2" t="s">
        <v>551</v>
      </c>
      <c r="Q1562" s="2" t="s">
        <v>551</v>
      </c>
      <c r="R1562" s="2" t="s">
        <v>551</v>
      </c>
      <c r="S1562" s="1">
        <v>46</v>
      </c>
    </row>
    <row r="1563" spans="1:19" x14ac:dyDescent="0.25">
      <c r="A1563" s="12">
        <v>45617</v>
      </c>
      <c r="B1563" s="48" t="s">
        <v>1574</v>
      </c>
      <c r="C1563" s="1">
        <v>14</v>
      </c>
      <c r="D1563" s="1">
        <v>31</v>
      </c>
      <c r="E1563" s="26">
        <v>45</v>
      </c>
      <c r="F1563" s="1">
        <f t="shared" si="80"/>
        <v>36.75</v>
      </c>
      <c r="G1563" s="1">
        <v>38</v>
      </c>
      <c r="H1563" s="1">
        <f t="shared" si="81"/>
        <v>28.75</v>
      </c>
      <c r="I1563" s="26">
        <v>41</v>
      </c>
      <c r="J1563" s="1">
        <f t="shared" si="82"/>
        <v>44.75</v>
      </c>
      <c r="K1563" s="1">
        <v>5</v>
      </c>
      <c r="L1563" s="1">
        <v>8</v>
      </c>
      <c r="M1563" s="1">
        <v>13</v>
      </c>
      <c r="P1563" s="2" t="s">
        <v>551</v>
      </c>
      <c r="Q1563" s="2" t="s">
        <v>551</v>
      </c>
      <c r="R1563" s="2" t="s">
        <v>551</v>
      </c>
      <c r="S1563" s="1">
        <v>47</v>
      </c>
    </row>
    <row r="1564" spans="1:19" x14ac:dyDescent="0.25">
      <c r="A1564" s="12">
        <v>45624</v>
      </c>
      <c r="B1564" s="48" t="s">
        <v>1575</v>
      </c>
      <c r="C1564" s="1">
        <v>11</v>
      </c>
      <c r="D1564" s="1">
        <v>31</v>
      </c>
      <c r="E1564" s="1">
        <v>42</v>
      </c>
      <c r="F1564" s="1">
        <f t="shared" si="80"/>
        <v>40.5</v>
      </c>
      <c r="G1564" s="1">
        <v>38</v>
      </c>
      <c r="H1564" s="1">
        <f t="shared" si="81"/>
        <v>30.75</v>
      </c>
      <c r="I1564" s="1">
        <v>47</v>
      </c>
      <c r="J1564" s="1">
        <f t="shared" si="82"/>
        <v>51</v>
      </c>
      <c r="K1564" s="1">
        <v>5</v>
      </c>
      <c r="L1564" s="1">
        <v>5</v>
      </c>
      <c r="M1564" s="1">
        <v>10</v>
      </c>
      <c r="P1564" s="2" t="s">
        <v>551</v>
      </c>
      <c r="Q1564" s="2" t="s">
        <v>551</v>
      </c>
      <c r="R1564" s="2" t="s">
        <v>551</v>
      </c>
      <c r="S1564" s="1">
        <v>48</v>
      </c>
    </row>
    <row r="1565" spans="1:19" x14ac:dyDescent="0.25">
      <c r="A1565" s="12">
        <v>45631</v>
      </c>
      <c r="B1565" s="48" t="s">
        <v>1576</v>
      </c>
      <c r="C1565" s="1">
        <v>13</v>
      </c>
      <c r="D1565" s="1">
        <v>17</v>
      </c>
      <c r="E1565" s="1">
        <v>30</v>
      </c>
      <c r="F1565" s="1">
        <f t="shared" si="80"/>
        <v>36</v>
      </c>
      <c r="G1565" s="1">
        <v>33</v>
      </c>
      <c r="H1565" s="1">
        <f t="shared" si="81"/>
        <v>34</v>
      </c>
      <c r="I1565" s="1">
        <v>48</v>
      </c>
      <c r="J1565" s="1">
        <f t="shared" si="82"/>
        <v>58.25</v>
      </c>
      <c r="K1565" s="1">
        <v>3</v>
      </c>
      <c r="L1565" s="1">
        <v>7</v>
      </c>
      <c r="M1565" s="1">
        <v>10</v>
      </c>
      <c r="P1565" s="2" t="s">
        <v>551</v>
      </c>
      <c r="Q1565" s="2" t="s">
        <v>551</v>
      </c>
      <c r="R1565" s="2" t="s">
        <v>551</v>
      </c>
      <c r="S1565" s="1">
        <v>49</v>
      </c>
    </row>
    <row r="1566" spans="1:19" x14ac:dyDescent="0.25">
      <c r="A1566" s="12">
        <v>45638</v>
      </c>
      <c r="B1566" s="48" t="s">
        <v>1577</v>
      </c>
      <c r="C1566" s="1">
        <v>13</v>
      </c>
      <c r="D1566" s="1">
        <v>25</v>
      </c>
      <c r="E1566" s="1">
        <v>38</v>
      </c>
      <c r="F1566" s="1">
        <f t="shared" si="80"/>
        <v>36.5</v>
      </c>
      <c r="G1566" s="1">
        <v>35</v>
      </c>
      <c r="H1566" s="1">
        <f t="shared" si="81"/>
        <v>35</v>
      </c>
      <c r="I1566" s="1">
        <v>52</v>
      </c>
      <c r="J1566" s="1">
        <f t="shared" si="82"/>
        <v>53</v>
      </c>
      <c r="K1566" s="1">
        <v>4</v>
      </c>
      <c r="L1566" s="1">
        <v>11</v>
      </c>
      <c r="M1566" s="1">
        <v>15</v>
      </c>
      <c r="P1566" s="2" t="s">
        <v>551</v>
      </c>
      <c r="Q1566" s="2" t="s">
        <v>551</v>
      </c>
      <c r="R1566" s="2" t="s">
        <v>551</v>
      </c>
      <c r="S1566" s="1">
        <v>50</v>
      </c>
    </row>
    <row r="1567" spans="1:19" x14ac:dyDescent="0.25">
      <c r="A1567" s="12">
        <v>45645</v>
      </c>
      <c r="B1567" s="48" t="s">
        <v>1578</v>
      </c>
      <c r="C1567" s="1">
        <v>12</v>
      </c>
      <c r="D1567" s="1">
        <v>24</v>
      </c>
      <c r="E1567" s="1">
        <v>36</v>
      </c>
      <c r="F1567" s="1">
        <f t="shared" si="80"/>
        <v>36.5</v>
      </c>
      <c r="G1567" s="1">
        <v>35</v>
      </c>
      <c r="H1567" s="1">
        <f t="shared" si="81"/>
        <v>34</v>
      </c>
      <c r="I1567" s="1">
        <v>43</v>
      </c>
      <c r="J1567" s="1">
        <f t="shared" si="82"/>
        <v>46.75</v>
      </c>
      <c r="K1567" s="1">
        <v>4</v>
      </c>
      <c r="L1567" s="1">
        <v>10</v>
      </c>
      <c r="M1567" s="1">
        <v>14</v>
      </c>
      <c r="P1567" s="2" t="s">
        <v>551</v>
      </c>
      <c r="Q1567" s="2" t="s">
        <v>551</v>
      </c>
      <c r="R1567" s="2" t="s">
        <v>551</v>
      </c>
      <c r="S1567" s="1">
        <v>51</v>
      </c>
    </row>
    <row r="1568" spans="1:19" x14ac:dyDescent="0.25">
      <c r="A1568" s="12">
        <v>45652</v>
      </c>
      <c r="B1568" s="48" t="s">
        <v>1579</v>
      </c>
      <c r="C1568" s="1">
        <v>10</v>
      </c>
      <c r="D1568" s="1">
        <v>21</v>
      </c>
      <c r="E1568" s="1">
        <v>31</v>
      </c>
      <c r="F1568" s="1">
        <f t="shared" si="80"/>
        <v>34.25</v>
      </c>
      <c r="G1568" s="1">
        <v>30</v>
      </c>
      <c r="H1568" s="1">
        <f t="shared" si="81"/>
        <v>28.75</v>
      </c>
      <c r="I1568" s="1">
        <v>48</v>
      </c>
      <c r="J1568" s="1">
        <f t="shared" si="82"/>
        <v>55.75</v>
      </c>
      <c r="K1568" s="1">
        <v>5</v>
      </c>
      <c r="L1568" s="1">
        <v>8</v>
      </c>
      <c r="M1568" s="1">
        <v>13</v>
      </c>
      <c r="P1568" s="2" t="s">
        <v>551</v>
      </c>
      <c r="Q1568" s="2" t="s">
        <v>551</v>
      </c>
      <c r="R1568" s="2" t="s">
        <v>551</v>
      </c>
      <c r="S1568" s="1">
        <v>52</v>
      </c>
    </row>
    <row r="1569" spans="1:19" x14ac:dyDescent="0.25">
      <c r="A1569" s="12">
        <v>45659</v>
      </c>
      <c r="B1569" s="48" t="s">
        <v>1580</v>
      </c>
      <c r="C1569" s="1">
        <v>10</v>
      </c>
      <c r="D1569" s="1">
        <v>15</v>
      </c>
      <c r="E1569" s="1">
        <v>25</v>
      </c>
      <c r="F1569" s="1">
        <f t="shared" ref="F1569:F1597" si="83">AVERAGE(E1517,E1465,E1413,E1361)</f>
        <v>35.5</v>
      </c>
      <c r="G1569" s="1">
        <v>26</v>
      </c>
      <c r="H1569" s="1">
        <f t="shared" ref="H1569:H1597" si="84">AVERAGE(G1517,G1465,G1413,G1361)</f>
        <v>29.75</v>
      </c>
      <c r="I1569" s="1">
        <v>51</v>
      </c>
      <c r="J1569" s="1">
        <f t="shared" ref="J1569:J1597" si="85">AVERAGE(I1517,I1465,I1413,I1361)</f>
        <v>59.25</v>
      </c>
      <c r="K1569" s="1">
        <v>4</v>
      </c>
      <c r="L1569" s="1">
        <v>7</v>
      </c>
      <c r="M1569" s="1">
        <v>11</v>
      </c>
      <c r="P1569" s="2" t="s">
        <v>551</v>
      </c>
      <c r="Q1569" s="2" t="s">
        <v>551</v>
      </c>
      <c r="R1569" s="2" t="s">
        <v>551</v>
      </c>
      <c r="S1569" s="1">
        <v>1</v>
      </c>
    </row>
    <row r="1570" spans="1:19" x14ac:dyDescent="0.25">
      <c r="A1570" s="12">
        <v>45666</v>
      </c>
      <c r="B1570" s="48" t="s">
        <v>1581</v>
      </c>
      <c r="C1570" s="1">
        <v>11</v>
      </c>
      <c r="D1570" s="1">
        <v>19</v>
      </c>
      <c r="E1570" s="1">
        <v>30</v>
      </c>
      <c r="F1570" s="1">
        <f t="shared" si="83"/>
        <v>38</v>
      </c>
      <c r="G1570" s="1">
        <v>28</v>
      </c>
      <c r="H1570" s="1">
        <f t="shared" si="84"/>
        <v>34</v>
      </c>
      <c r="I1570" s="1">
        <v>44</v>
      </c>
      <c r="J1570" s="1">
        <f t="shared" si="85"/>
        <v>58.25</v>
      </c>
      <c r="K1570" s="1">
        <v>4</v>
      </c>
      <c r="L1570" s="1">
        <v>6</v>
      </c>
      <c r="M1570" s="1">
        <v>10</v>
      </c>
      <c r="P1570" s="2" t="s">
        <v>551</v>
      </c>
      <c r="Q1570" s="2" t="s">
        <v>551</v>
      </c>
      <c r="R1570" s="2" t="s">
        <v>551</v>
      </c>
      <c r="S1570" s="1">
        <v>2</v>
      </c>
    </row>
    <row r="1571" spans="1:19" x14ac:dyDescent="0.25">
      <c r="A1571" s="12">
        <v>45673</v>
      </c>
      <c r="B1571" s="48" t="s">
        <v>1582</v>
      </c>
      <c r="C1571" s="1">
        <v>10</v>
      </c>
      <c r="D1571" s="1">
        <v>21</v>
      </c>
      <c r="E1571" s="1">
        <v>31</v>
      </c>
      <c r="F1571" s="1">
        <f t="shared" si="83"/>
        <v>39.75</v>
      </c>
      <c r="G1571" s="1">
        <v>30</v>
      </c>
      <c r="H1571" s="1">
        <f t="shared" si="84"/>
        <v>36.75</v>
      </c>
      <c r="I1571" s="1">
        <v>45</v>
      </c>
      <c r="J1571" s="1">
        <f t="shared" si="85"/>
        <v>50.5</v>
      </c>
      <c r="K1571" s="1">
        <v>4</v>
      </c>
      <c r="L1571" s="1">
        <v>10</v>
      </c>
      <c r="M1571" s="1">
        <v>14</v>
      </c>
      <c r="P1571" s="2" t="s">
        <v>551</v>
      </c>
      <c r="Q1571" s="2" t="s">
        <v>551</v>
      </c>
      <c r="R1571" s="2" t="s">
        <v>551</v>
      </c>
      <c r="S1571" s="1">
        <v>3</v>
      </c>
    </row>
    <row r="1572" spans="1:19" x14ac:dyDescent="0.25">
      <c r="A1572" s="12">
        <v>45680</v>
      </c>
      <c r="B1572" s="48" t="s">
        <v>1583</v>
      </c>
      <c r="C1572" s="1">
        <v>8</v>
      </c>
      <c r="D1572" s="1">
        <v>14</v>
      </c>
      <c r="E1572" s="1">
        <v>22</v>
      </c>
      <c r="F1572" s="1">
        <f t="shared" si="83"/>
        <v>40.5</v>
      </c>
      <c r="G1572" s="1">
        <v>23</v>
      </c>
      <c r="H1572" s="1">
        <f t="shared" si="84"/>
        <v>31.75</v>
      </c>
      <c r="I1572" s="1">
        <v>49</v>
      </c>
      <c r="J1572" s="1">
        <f t="shared" si="85"/>
        <v>50.25</v>
      </c>
      <c r="K1572" s="1">
        <v>5</v>
      </c>
      <c r="L1572" s="1">
        <v>10</v>
      </c>
      <c r="M1572" s="1">
        <v>15</v>
      </c>
      <c r="P1572" s="2" t="s">
        <v>551</v>
      </c>
      <c r="Q1572" s="2" t="s">
        <v>551</v>
      </c>
      <c r="R1572" s="2" t="s">
        <v>551</v>
      </c>
      <c r="S1572" s="1">
        <v>4</v>
      </c>
    </row>
    <row r="1573" spans="1:19" x14ac:dyDescent="0.25">
      <c r="A1573" s="12">
        <v>45687</v>
      </c>
      <c r="B1573" s="48" t="s">
        <v>1584</v>
      </c>
      <c r="C1573" s="1">
        <v>12</v>
      </c>
      <c r="D1573" s="1">
        <v>22</v>
      </c>
      <c r="E1573" s="1">
        <v>34</v>
      </c>
      <c r="F1573" s="1">
        <f t="shared" si="83"/>
        <v>36.5</v>
      </c>
      <c r="G1573" s="1">
        <v>29</v>
      </c>
      <c r="H1573" s="1">
        <f t="shared" si="84"/>
        <v>33</v>
      </c>
      <c r="I1573" s="1">
        <v>42</v>
      </c>
      <c r="J1573" s="1">
        <f t="shared" si="85"/>
        <v>48.75</v>
      </c>
      <c r="K1573" s="1">
        <v>5</v>
      </c>
      <c r="L1573" s="1">
        <v>16</v>
      </c>
      <c r="M1573" s="1">
        <v>21</v>
      </c>
      <c r="P1573" s="2" t="s">
        <v>551</v>
      </c>
      <c r="Q1573" s="2" t="s">
        <v>551</v>
      </c>
      <c r="R1573" s="2" t="s">
        <v>551</v>
      </c>
      <c r="S1573" s="1">
        <v>5</v>
      </c>
    </row>
    <row r="1574" spans="1:19" x14ac:dyDescent="0.25">
      <c r="A1574" s="12">
        <v>45694</v>
      </c>
      <c r="B1574" s="48" t="s">
        <v>1585</v>
      </c>
      <c r="C1574" s="1">
        <v>9</v>
      </c>
      <c r="D1574" s="1">
        <v>23</v>
      </c>
      <c r="E1574" s="1">
        <v>32</v>
      </c>
      <c r="F1574" s="1">
        <f t="shared" si="83"/>
        <v>35.75</v>
      </c>
      <c r="G1574" s="1">
        <v>33</v>
      </c>
      <c r="H1574" s="1">
        <f t="shared" si="84"/>
        <v>35</v>
      </c>
      <c r="I1574" s="1">
        <v>45</v>
      </c>
      <c r="J1574" s="1">
        <f t="shared" si="85"/>
        <v>52.75</v>
      </c>
      <c r="K1574" s="1">
        <v>4</v>
      </c>
      <c r="L1574" s="1">
        <v>16</v>
      </c>
      <c r="M1574" s="1">
        <v>20</v>
      </c>
      <c r="P1574" s="2" t="s">
        <v>551</v>
      </c>
      <c r="Q1574" s="2" t="s">
        <v>551</v>
      </c>
      <c r="R1574" s="2" t="s">
        <v>551</v>
      </c>
      <c r="S1574" s="1">
        <v>6</v>
      </c>
    </row>
    <row r="1575" spans="1:19" x14ac:dyDescent="0.25">
      <c r="A1575" s="12">
        <v>45701</v>
      </c>
      <c r="B1575" s="48" t="s">
        <v>1586</v>
      </c>
      <c r="C1575" s="1">
        <v>10</v>
      </c>
      <c r="D1575" s="1">
        <v>20</v>
      </c>
      <c r="E1575" s="1">
        <v>30</v>
      </c>
      <c r="F1575" s="1">
        <f t="shared" si="83"/>
        <v>35.25</v>
      </c>
      <c r="G1575" s="1">
        <v>28</v>
      </c>
      <c r="H1575" s="1">
        <f t="shared" si="84"/>
        <v>33.75</v>
      </c>
      <c r="I1575" s="1">
        <v>53</v>
      </c>
      <c r="J1575" s="1">
        <f t="shared" si="85"/>
        <v>45.25</v>
      </c>
      <c r="K1575" s="1">
        <v>3</v>
      </c>
      <c r="L1575" s="1">
        <v>11</v>
      </c>
      <c r="M1575" s="1">
        <v>14</v>
      </c>
      <c r="P1575" s="2" t="s">
        <v>551</v>
      </c>
      <c r="Q1575" s="2" t="s">
        <v>551</v>
      </c>
      <c r="R1575" s="2" t="s">
        <v>551</v>
      </c>
      <c r="S1575" s="1">
        <v>7</v>
      </c>
    </row>
    <row r="1576" spans="1:19" x14ac:dyDescent="0.25">
      <c r="A1576" s="12">
        <v>45708</v>
      </c>
      <c r="B1576" s="48" t="s">
        <v>1587</v>
      </c>
      <c r="C1576" s="1">
        <v>11</v>
      </c>
      <c r="D1576" s="1">
        <v>27</v>
      </c>
      <c r="E1576" s="1">
        <v>38</v>
      </c>
      <c r="F1576" s="1">
        <f t="shared" si="83"/>
        <v>34.5</v>
      </c>
      <c r="G1576" s="1">
        <v>27</v>
      </c>
      <c r="H1576" s="1">
        <f t="shared" si="84"/>
        <v>30.75</v>
      </c>
      <c r="I1576" s="1">
        <v>45</v>
      </c>
      <c r="J1576" s="1">
        <f t="shared" si="85"/>
        <v>48.25</v>
      </c>
      <c r="K1576" s="1">
        <v>4</v>
      </c>
      <c r="L1576" s="1">
        <v>17</v>
      </c>
      <c r="M1576" s="1">
        <v>21</v>
      </c>
      <c r="P1576" s="2" t="s">
        <v>551</v>
      </c>
      <c r="Q1576" s="2" t="s">
        <v>551</v>
      </c>
      <c r="R1576" s="2" t="s">
        <v>551</v>
      </c>
      <c r="S1576" s="1">
        <v>8</v>
      </c>
    </row>
    <row r="1577" spans="1:19" x14ac:dyDescent="0.25">
      <c r="A1577" s="12">
        <v>45715</v>
      </c>
      <c r="B1577" s="48" t="s">
        <v>1588</v>
      </c>
      <c r="C1577" s="1">
        <v>10</v>
      </c>
      <c r="D1577" s="1">
        <v>29</v>
      </c>
      <c r="E1577" s="1">
        <v>39</v>
      </c>
      <c r="F1577" s="1">
        <f t="shared" si="83"/>
        <v>31</v>
      </c>
      <c r="G1577" s="1">
        <v>27</v>
      </c>
      <c r="H1577" s="1">
        <f t="shared" si="84"/>
        <v>33.25</v>
      </c>
      <c r="I1577" s="1">
        <v>42</v>
      </c>
      <c r="J1577" s="1">
        <f t="shared" si="85"/>
        <v>47.75</v>
      </c>
      <c r="K1577" s="1">
        <v>4</v>
      </c>
      <c r="L1577" s="1">
        <v>14</v>
      </c>
      <c r="M1577" s="1">
        <v>18</v>
      </c>
      <c r="P1577" s="2" t="s">
        <v>551</v>
      </c>
      <c r="Q1577" s="2" t="s">
        <v>551</v>
      </c>
      <c r="R1577" s="2" t="s">
        <v>551</v>
      </c>
      <c r="S1577" s="1">
        <v>9</v>
      </c>
    </row>
    <row r="1578" spans="1:19" x14ac:dyDescent="0.25">
      <c r="A1578" s="12">
        <v>45722</v>
      </c>
      <c r="B1578" s="48" t="s">
        <v>1589</v>
      </c>
      <c r="C1578" s="1">
        <v>9</v>
      </c>
      <c r="D1578" s="1">
        <v>31</v>
      </c>
      <c r="E1578" s="1">
        <v>40</v>
      </c>
      <c r="F1578" s="1">
        <f t="shared" si="83"/>
        <v>29</v>
      </c>
      <c r="G1578" s="1">
        <v>27</v>
      </c>
      <c r="H1578" s="1">
        <f t="shared" si="84"/>
        <v>33.5</v>
      </c>
      <c r="I1578" s="1">
        <v>39</v>
      </c>
      <c r="J1578" s="1">
        <f t="shared" si="85"/>
        <v>53.5</v>
      </c>
      <c r="K1578" s="1">
        <v>4</v>
      </c>
      <c r="L1578" s="1">
        <v>16</v>
      </c>
      <c r="M1578" s="1">
        <v>20</v>
      </c>
      <c r="P1578" s="2" t="s">
        <v>551</v>
      </c>
      <c r="Q1578" s="2" t="s">
        <v>551</v>
      </c>
      <c r="R1578" s="2" t="s">
        <v>551</v>
      </c>
      <c r="S1578" s="1">
        <v>10</v>
      </c>
    </row>
    <row r="1579" spans="1:19" x14ac:dyDescent="0.25">
      <c r="A1579" s="12">
        <v>45729</v>
      </c>
      <c r="B1579" s="48" t="s">
        <v>1590</v>
      </c>
      <c r="C1579" s="1">
        <v>10</v>
      </c>
      <c r="D1579" s="1">
        <v>27</v>
      </c>
      <c r="E1579" s="1">
        <v>37</v>
      </c>
      <c r="F1579" s="1">
        <f t="shared" si="83"/>
        <v>25.25</v>
      </c>
      <c r="G1579" s="1">
        <v>27</v>
      </c>
      <c r="H1579" s="1">
        <f t="shared" si="84"/>
        <v>34.25</v>
      </c>
      <c r="I1579" s="1">
        <v>48</v>
      </c>
      <c r="J1579" s="1">
        <f t="shared" si="85"/>
        <v>51.5</v>
      </c>
      <c r="K1579" s="1">
        <v>5</v>
      </c>
      <c r="L1579" s="1">
        <v>15</v>
      </c>
      <c r="M1579" s="1">
        <v>20</v>
      </c>
      <c r="P1579" s="2" t="s">
        <v>551</v>
      </c>
      <c r="Q1579" s="2" t="s">
        <v>551</v>
      </c>
      <c r="R1579" s="2" t="s">
        <v>551</v>
      </c>
      <c r="S1579" s="1">
        <v>11</v>
      </c>
    </row>
    <row r="1580" spans="1:19" x14ac:dyDescent="0.25">
      <c r="A1580" s="12">
        <v>45736</v>
      </c>
      <c r="B1580" s="48" t="s">
        <v>1591</v>
      </c>
      <c r="C1580" s="1">
        <v>11</v>
      </c>
      <c r="D1580" s="1">
        <v>35</v>
      </c>
      <c r="E1580" s="1">
        <v>36</v>
      </c>
      <c r="F1580" s="1">
        <f t="shared" si="83"/>
        <v>29.5</v>
      </c>
      <c r="G1580" s="1">
        <v>26</v>
      </c>
      <c r="H1580" s="1">
        <f t="shared" si="84"/>
        <v>33</v>
      </c>
      <c r="I1580" s="1">
        <v>41</v>
      </c>
      <c r="J1580" s="1">
        <f t="shared" si="85"/>
        <v>46</v>
      </c>
      <c r="K1580" s="1">
        <v>5</v>
      </c>
      <c r="L1580" s="1">
        <v>18</v>
      </c>
      <c r="M1580" s="2">
        <v>23</v>
      </c>
      <c r="P1580" s="2" t="s">
        <v>551</v>
      </c>
      <c r="Q1580" s="2" t="s">
        <v>551</v>
      </c>
      <c r="R1580" s="2" t="s">
        <v>551</v>
      </c>
      <c r="S1580" s="1">
        <v>12</v>
      </c>
    </row>
    <row r="1581" spans="1:19" x14ac:dyDescent="0.25">
      <c r="A1581" s="12">
        <v>45743</v>
      </c>
      <c r="B1581" s="48" t="s">
        <v>1592</v>
      </c>
      <c r="C1581" s="1">
        <v>10</v>
      </c>
      <c r="D1581" s="1">
        <v>29</v>
      </c>
      <c r="E1581" s="1">
        <v>39</v>
      </c>
      <c r="F1581" s="1">
        <f t="shared" si="83"/>
        <v>30.25</v>
      </c>
      <c r="G1581" s="1">
        <v>32</v>
      </c>
      <c r="H1581" s="1">
        <f t="shared" si="84"/>
        <v>32.5</v>
      </c>
      <c r="I1581" s="1">
        <v>37</v>
      </c>
      <c r="J1581" s="1">
        <f t="shared" si="85"/>
        <v>41.25</v>
      </c>
      <c r="K1581" s="1">
        <v>5</v>
      </c>
      <c r="L1581" s="1">
        <v>11</v>
      </c>
      <c r="M1581" s="2">
        <v>16</v>
      </c>
      <c r="P1581" s="2" t="s">
        <v>551</v>
      </c>
      <c r="Q1581" s="2" t="s">
        <v>551</v>
      </c>
      <c r="R1581" s="2" t="s">
        <v>551</v>
      </c>
      <c r="S1581" s="1">
        <v>13</v>
      </c>
    </row>
    <row r="1582" spans="1:19" x14ac:dyDescent="0.25">
      <c r="A1582" s="12">
        <v>45750</v>
      </c>
      <c r="B1582" s="48" t="s">
        <v>1593</v>
      </c>
      <c r="C1582" s="1">
        <v>12</v>
      </c>
      <c r="D1582" s="1">
        <v>19</v>
      </c>
      <c r="E1582" s="1">
        <v>31</v>
      </c>
      <c r="F1582" s="1">
        <f t="shared" si="83"/>
        <v>25.5</v>
      </c>
      <c r="G1582" s="1">
        <v>28</v>
      </c>
      <c r="H1582" s="1">
        <f t="shared" si="84"/>
        <v>32</v>
      </c>
      <c r="I1582" s="1">
        <v>40</v>
      </c>
      <c r="J1582" s="1">
        <f t="shared" si="85"/>
        <v>44.25</v>
      </c>
      <c r="K1582" s="1">
        <v>3</v>
      </c>
      <c r="L1582" s="1">
        <v>12</v>
      </c>
      <c r="M1582" s="2">
        <v>15</v>
      </c>
      <c r="P1582" s="2" t="s">
        <v>551</v>
      </c>
      <c r="Q1582" s="2" t="s">
        <v>551</v>
      </c>
      <c r="R1582" s="2" t="s">
        <v>551</v>
      </c>
      <c r="S1582" s="1">
        <v>14</v>
      </c>
    </row>
    <row r="1583" spans="1:19" x14ac:dyDescent="0.25">
      <c r="A1583" s="12">
        <v>45757</v>
      </c>
      <c r="B1583" s="48" t="s">
        <v>1594</v>
      </c>
      <c r="C1583" s="1">
        <v>10</v>
      </c>
      <c r="D1583" s="1">
        <v>14</v>
      </c>
      <c r="E1583" s="1">
        <v>24</v>
      </c>
      <c r="F1583" s="1">
        <f t="shared" si="83"/>
        <v>25</v>
      </c>
      <c r="G1583" s="1">
        <v>33</v>
      </c>
      <c r="H1583" s="1">
        <f t="shared" si="84"/>
        <v>28</v>
      </c>
      <c r="I1583" s="1">
        <v>53</v>
      </c>
      <c r="J1583" s="1">
        <f t="shared" si="85"/>
        <v>44.75</v>
      </c>
      <c r="K1583" s="1">
        <v>4</v>
      </c>
      <c r="L1583" s="1">
        <v>17</v>
      </c>
      <c r="M1583" s="2">
        <v>21</v>
      </c>
      <c r="P1583" s="2" t="s">
        <v>551</v>
      </c>
      <c r="Q1583" s="2" t="s">
        <v>551</v>
      </c>
      <c r="R1583" s="2" t="s">
        <v>551</v>
      </c>
      <c r="S1583" s="1">
        <v>15</v>
      </c>
    </row>
    <row r="1584" spans="1:19" x14ac:dyDescent="0.25">
      <c r="A1584" s="12">
        <v>45764</v>
      </c>
      <c r="B1584" s="48" t="s">
        <v>1595</v>
      </c>
      <c r="C1584" s="1">
        <v>6</v>
      </c>
      <c r="D1584" s="1">
        <v>20</v>
      </c>
      <c r="E1584" s="1">
        <v>26</v>
      </c>
      <c r="F1584" s="1">
        <f t="shared" si="83"/>
        <v>25.25</v>
      </c>
      <c r="G1584" s="1">
        <v>34</v>
      </c>
      <c r="H1584" s="1">
        <f t="shared" si="84"/>
        <v>31.25</v>
      </c>
      <c r="I1584" s="1">
        <v>33</v>
      </c>
      <c r="J1584" s="1">
        <f t="shared" si="85"/>
        <v>36.5</v>
      </c>
      <c r="K1584" s="1">
        <v>5</v>
      </c>
      <c r="L1584" s="1">
        <v>14</v>
      </c>
      <c r="M1584" s="2">
        <v>19</v>
      </c>
      <c r="P1584" s="2" t="s">
        <v>551</v>
      </c>
      <c r="Q1584" s="2" t="s">
        <v>551</v>
      </c>
      <c r="R1584" s="2" t="s">
        <v>551</v>
      </c>
      <c r="S1584" s="1">
        <v>16</v>
      </c>
    </row>
    <row r="1585" spans="1:19" x14ac:dyDescent="0.25">
      <c r="A1585" s="12">
        <v>45771</v>
      </c>
      <c r="B1585" s="48" t="s">
        <v>1596</v>
      </c>
      <c r="C1585" s="1">
        <v>8</v>
      </c>
      <c r="D1585" s="1">
        <v>20</v>
      </c>
      <c r="E1585" s="1">
        <v>28</v>
      </c>
      <c r="F1585" s="1">
        <f t="shared" si="83"/>
        <v>21.25</v>
      </c>
      <c r="G1585" s="1">
        <v>25</v>
      </c>
      <c r="H1585" s="1">
        <f t="shared" si="84"/>
        <v>31.75</v>
      </c>
      <c r="I1585" s="1">
        <v>27</v>
      </c>
      <c r="J1585" s="1">
        <f t="shared" si="85"/>
        <v>40.75</v>
      </c>
      <c r="K1585" s="1">
        <v>5</v>
      </c>
      <c r="L1585" s="1">
        <v>15</v>
      </c>
      <c r="M1585" s="2">
        <v>20</v>
      </c>
      <c r="P1585" s="2" t="s">
        <v>551</v>
      </c>
      <c r="Q1585" s="2" t="s">
        <v>551</v>
      </c>
      <c r="R1585" s="2" t="s">
        <v>551</v>
      </c>
      <c r="S1585" s="1">
        <v>17</v>
      </c>
    </row>
    <row r="1586" spans="1:19" x14ac:dyDescent="0.25">
      <c r="A1586" s="12">
        <v>45778</v>
      </c>
      <c r="B1586" s="48" t="s">
        <v>1597</v>
      </c>
      <c r="C1586" s="1">
        <v>8</v>
      </c>
      <c r="D1586" s="1">
        <v>11</v>
      </c>
      <c r="E1586" s="1">
        <v>19</v>
      </c>
      <c r="F1586" s="1">
        <f t="shared" si="83"/>
        <v>17.75</v>
      </c>
      <c r="G1586" s="1">
        <v>29</v>
      </c>
      <c r="H1586" s="1">
        <f t="shared" si="84"/>
        <v>27</v>
      </c>
      <c r="I1586" s="1">
        <v>26</v>
      </c>
      <c r="J1586" s="1">
        <f t="shared" si="85"/>
        <v>40.5</v>
      </c>
      <c r="K1586" s="1">
        <v>5</v>
      </c>
      <c r="L1586" s="1">
        <v>11</v>
      </c>
      <c r="M1586" s="2">
        <v>16</v>
      </c>
      <c r="P1586" s="2" t="s">
        <v>551</v>
      </c>
      <c r="Q1586" s="2" t="s">
        <v>551</v>
      </c>
      <c r="R1586" s="2" t="s">
        <v>551</v>
      </c>
      <c r="S1586" s="1">
        <v>18</v>
      </c>
    </row>
    <row r="1587" spans="1:19" x14ac:dyDescent="0.25">
      <c r="A1587" s="12">
        <v>45785</v>
      </c>
      <c r="B1587" s="48" t="s">
        <v>1598</v>
      </c>
      <c r="C1587" s="1">
        <v>9</v>
      </c>
      <c r="D1587" s="1">
        <v>10</v>
      </c>
      <c r="E1587" s="1">
        <v>19</v>
      </c>
      <c r="F1587" s="1">
        <f t="shared" si="83"/>
        <v>17</v>
      </c>
      <c r="G1587" s="1">
        <v>22</v>
      </c>
      <c r="H1587" s="1">
        <f t="shared" si="84"/>
        <v>28</v>
      </c>
      <c r="I1587" s="1">
        <v>32</v>
      </c>
      <c r="J1587" s="1">
        <f t="shared" si="85"/>
        <v>43.5</v>
      </c>
      <c r="K1587" s="1">
        <v>4</v>
      </c>
      <c r="L1587" s="1">
        <v>9</v>
      </c>
      <c r="M1587" s="2">
        <v>13</v>
      </c>
      <c r="P1587" s="2" t="s">
        <v>551</v>
      </c>
      <c r="Q1587" s="2" t="s">
        <v>551</v>
      </c>
      <c r="R1587" s="2" t="s">
        <v>551</v>
      </c>
      <c r="S1587" s="1">
        <v>19</v>
      </c>
    </row>
    <row r="1588" spans="1:19" x14ac:dyDescent="0.25">
      <c r="A1588" s="12">
        <v>45792</v>
      </c>
      <c r="B1588" s="48" t="s">
        <v>1599</v>
      </c>
      <c r="C1588" s="1">
        <v>9</v>
      </c>
      <c r="D1588" s="1">
        <v>11</v>
      </c>
      <c r="E1588" s="1">
        <v>20</v>
      </c>
      <c r="F1588" s="1">
        <f t="shared" si="83"/>
        <v>18.25</v>
      </c>
      <c r="G1588" s="1">
        <v>27</v>
      </c>
      <c r="H1588" s="1">
        <f t="shared" si="84"/>
        <v>25.25</v>
      </c>
      <c r="I1588" s="1">
        <v>26</v>
      </c>
      <c r="J1588" s="1">
        <f t="shared" si="85"/>
        <v>41.75</v>
      </c>
      <c r="K1588" s="1">
        <v>3</v>
      </c>
      <c r="L1588" s="1">
        <v>11</v>
      </c>
      <c r="M1588" s="2">
        <v>14</v>
      </c>
      <c r="P1588" s="2" t="s">
        <v>551</v>
      </c>
      <c r="Q1588" s="2" t="s">
        <v>551</v>
      </c>
      <c r="R1588" s="2" t="s">
        <v>551</v>
      </c>
      <c r="S1588" s="1">
        <v>20</v>
      </c>
    </row>
    <row r="1589" spans="1:19" x14ac:dyDescent="0.25">
      <c r="A1589" s="12">
        <v>45799</v>
      </c>
      <c r="B1589" s="48" t="s">
        <v>1600</v>
      </c>
      <c r="C1589" s="1">
        <v>7</v>
      </c>
      <c r="D1589" s="1">
        <v>15</v>
      </c>
      <c r="E1589" s="1">
        <v>22</v>
      </c>
      <c r="F1589" s="1">
        <f t="shared" si="83"/>
        <v>23</v>
      </c>
      <c r="G1589" s="1">
        <v>22</v>
      </c>
      <c r="H1589" s="1">
        <f t="shared" si="84"/>
        <v>25.5</v>
      </c>
      <c r="I1589" s="1">
        <v>38</v>
      </c>
      <c r="J1589" s="1">
        <f t="shared" si="85"/>
        <v>35.25</v>
      </c>
      <c r="K1589" s="1">
        <v>5</v>
      </c>
      <c r="L1589" s="1">
        <v>9</v>
      </c>
      <c r="M1589" s="2">
        <v>14</v>
      </c>
      <c r="P1589" s="2" t="s">
        <v>551</v>
      </c>
      <c r="Q1589" s="2" t="s">
        <v>551</v>
      </c>
      <c r="R1589" s="2" t="s">
        <v>551</v>
      </c>
      <c r="S1589" s="1">
        <v>21</v>
      </c>
    </row>
    <row r="1590" spans="1:19" x14ac:dyDescent="0.25">
      <c r="A1590" s="12">
        <v>45806</v>
      </c>
      <c r="B1590" s="48" t="s">
        <v>1601</v>
      </c>
      <c r="C1590" s="1">
        <v>10</v>
      </c>
      <c r="D1590" s="1">
        <v>13</v>
      </c>
      <c r="E1590" s="1">
        <v>23</v>
      </c>
      <c r="F1590" s="1">
        <f t="shared" si="83"/>
        <v>18.5</v>
      </c>
      <c r="G1590" s="1">
        <v>24</v>
      </c>
      <c r="H1590" s="1">
        <f t="shared" si="84"/>
        <v>26.5</v>
      </c>
      <c r="I1590" s="1">
        <v>43</v>
      </c>
      <c r="J1590" s="1">
        <f t="shared" si="85"/>
        <v>40</v>
      </c>
      <c r="K1590" s="1">
        <v>4</v>
      </c>
      <c r="L1590" s="1">
        <v>3</v>
      </c>
      <c r="M1590" s="2">
        <v>7</v>
      </c>
      <c r="P1590" s="2" t="s">
        <v>551</v>
      </c>
      <c r="Q1590" s="2" t="s">
        <v>551</v>
      </c>
      <c r="R1590" s="2" t="s">
        <v>551</v>
      </c>
      <c r="S1590" s="1">
        <v>22</v>
      </c>
    </row>
    <row r="1591" spans="1:19" x14ac:dyDescent="0.25">
      <c r="A1591" s="12">
        <v>45813</v>
      </c>
      <c r="B1591" s="48" t="s">
        <v>1602</v>
      </c>
      <c r="C1591" s="1">
        <v>9</v>
      </c>
      <c r="D1591" s="1">
        <v>6</v>
      </c>
      <c r="E1591" s="1">
        <v>15</v>
      </c>
      <c r="F1591" s="1">
        <f t="shared" si="83"/>
        <v>22.25</v>
      </c>
      <c r="G1591" s="1">
        <v>32</v>
      </c>
      <c r="H1591" s="1">
        <f t="shared" si="84"/>
        <v>27</v>
      </c>
      <c r="I1591" s="1">
        <v>44</v>
      </c>
      <c r="J1591" s="1">
        <f t="shared" si="85"/>
        <v>35.25</v>
      </c>
      <c r="K1591" s="1">
        <v>3</v>
      </c>
      <c r="L1591" s="1">
        <v>3</v>
      </c>
      <c r="M1591" s="2">
        <v>6</v>
      </c>
      <c r="P1591" s="2" t="s">
        <v>551</v>
      </c>
      <c r="Q1591" s="2" t="s">
        <v>551</v>
      </c>
      <c r="R1591" s="2" t="s">
        <v>551</v>
      </c>
      <c r="S1591" s="1">
        <v>23</v>
      </c>
    </row>
    <row r="1592" spans="1:19" x14ac:dyDescent="0.25">
      <c r="A1592" s="12">
        <v>45820</v>
      </c>
      <c r="B1592" s="48" t="s">
        <v>1603</v>
      </c>
      <c r="C1592" s="1">
        <v>9</v>
      </c>
      <c r="D1592" s="1">
        <v>9</v>
      </c>
      <c r="E1592" s="1">
        <v>18</v>
      </c>
      <c r="F1592" s="1">
        <f t="shared" si="83"/>
        <v>15.5</v>
      </c>
      <c r="G1592" s="1">
        <v>30</v>
      </c>
      <c r="H1592" s="1">
        <f t="shared" si="84"/>
        <v>28</v>
      </c>
      <c r="I1592" s="1">
        <v>34</v>
      </c>
      <c r="J1592" s="1">
        <f t="shared" si="85"/>
        <v>31.75</v>
      </c>
      <c r="K1592" s="1">
        <v>3</v>
      </c>
      <c r="L1592" s="1">
        <v>5</v>
      </c>
      <c r="M1592" s="2">
        <v>8</v>
      </c>
      <c r="P1592" s="2" t="s">
        <v>551</v>
      </c>
      <c r="Q1592" s="2" t="s">
        <v>551</v>
      </c>
      <c r="R1592" s="2" t="s">
        <v>551</v>
      </c>
      <c r="S1592" s="1">
        <v>24</v>
      </c>
    </row>
    <row r="1593" spans="1:19" x14ac:dyDescent="0.25">
      <c r="A1593" s="12">
        <v>45827</v>
      </c>
      <c r="B1593" s="48" t="s">
        <v>1604</v>
      </c>
      <c r="C1593" s="1">
        <v>9</v>
      </c>
      <c r="D1593" s="1">
        <v>8</v>
      </c>
      <c r="E1593" s="1">
        <v>16</v>
      </c>
      <c r="F1593" s="1">
        <f t="shared" si="83"/>
        <v>18</v>
      </c>
      <c r="G1593" s="1">
        <v>21</v>
      </c>
      <c r="H1593" s="1">
        <f t="shared" si="84"/>
        <v>20.75</v>
      </c>
      <c r="I1593" s="1">
        <v>44</v>
      </c>
      <c r="J1593" s="1">
        <f t="shared" si="85"/>
        <v>31</v>
      </c>
      <c r="K1593" s="2" t="s">
        <v>551</v>
      </c>
      <c r="L1593" s="2" t="s">
        <v>551</v>
      </c>
      <c r="M1593" s="2" t="s">
        <v>551</v>
      </c>
      <c r="P1593" s="2" t="s">
        <v>551</v>
      </c>
      <c r="Q1593" s="2" t="s">
        <v>551</v>
      </c>
      <c r="R1593" s="2" t="s">
        <v>551</v>
      </c>
      <c r="S1593" s="1">
        <v>25</v>
      </c>
    </row>
    <row r="1594" spans="1:19" x14ac:dyDescent="0.25">
      <c r="A1594" s="12">
        <v>45834</v>
      </c>
      <c r="B1594" s="48" t="s">
        <v>1605</v>
      </c>
      <c r="C1594" s="1">
        <v>6</v>
      </c>
      <c r="D1594" s="1">
        <v>8</v>
      </c>
      <c r="E1594" s="1">
        <v>14</v>
      </c>
      <c r="F1594" s="1">
        <f t="shared" si="83"/>
        <v>15.5</v>
      </c>
      <c r="G1594" s="1">
        <v>23</v>
      </c>
      <c r="H1594" s="1">
        <f t="shared" si="84"/>
        <v>21</v>
      </c>
      <c r="I1594" s="1">
        <v>44</v>
      </c>
      <c r="J1594" s="1">
        <f t="shared" si="85"/>
        <v>40.25</v>
      </c>
      <c r="K1594" s="1">
        <v>3</v>
      </c>
      <c r="L1594" s="1">
        <v>6</v>
      </c>
      <c r="M1594" s="2">
        <v>9</v>
      </c>
      <c r="P1594" s="2" t="s">
        <v>551</v>
      </c>
      <c r="Q1594" s="2" t="s">
        <v>551</v>
      </c>
      <c r="R1594" s="2" t="s">
        <v>551</v>
      </c>
      <c r="S1594" s="1">
        <v>26</v>
      </c>
    </row>
    <row r="1595" spans="1:19" x14ac:dyDescent="0.25">
      <c r="A1595" s="12">
        <v>45841</v>
      </c>
      <c r="B1595" s="48" t="s">
        <v>1606</v>
      </c>
      <c r="C1595" s="1">
        <v>7</v>
      </c>
      <c r="D1595" s="1">
        <v>10</v>
      </c>
      <c r="E1595" s="1">
        <v>17</v>
      </c>
      <c r="F1595" s="1">
        <f t="shared" si="83"/>
        <v>18.75</v>
      </c>
      <c r="G1595" s="1">
        <v>26</v>
      </c>
      <c r="H1595" s="1">
        <f t="shared" si="84"/>
        <v>20</v>
      </c>
      <c r="I1595" s="1">
        <v>37</v>
      </c>
      <c r="J1595" s="1">
        <f t="shared" si="85"/>
        <v>34.5</v>
      </c>
      <c r="K1595" s="1">
        <v>4</v>
      </c>
      <c r="L1595" s="1">
        <v>1</v>
      </c>
      <c r="M1595" s="2">
        <v>5</v>
      </c>
      <c r="P1595" s="2" t="s">
        <v>551</v>
      </c>
      <c r="Q1595" s="2" t="s">
        <v>551</v>
      </c>
      <c r="R1595" s="2" t="s">
        <v>551</v>
      </c>
      <c r="S1595" s="1">
        <v>27</v>
      </c>
    </row>
    <row r="1596" spans="1:19" x14ac:dyDescent="0.25">
      <c r="A1596" s="12">
        <v>45848</v>
      </c>
      <c r="B1596" s="48" t="s">
        <v>1607</v>
      </c>
      <c r="C1596" s="1">
        <v>9</v>
      </c>
      <c r="D1596" s="1">
        <v>13</v>
      </c>
      <c r="E1596" s="1">
        <v>22</v>
      </c>
      <c r="F1596" s="1">
        <f t="shared" si="83"/>
        <v>20.25</v>
      </c>
      <c r="G1596" s="1">
        <v>23</v>
      </c>
      <c r="H1596" s="1">
        <f t="shared" si="84"/>
        <v>22.5</v>
      </c>
      <c r="I1596" s="1">
        <v>35</v>
      </c>
      <c r="J1596" s="1">
        <f t="shared" si="85"/>
        <v>40.75</v>
      </c>
      <c r="K1596" s="1">
        <v>3</v>
      </c>
      <c r="L1596" s="1">
        <v>3</v>
      </c>
      <c r="M1596" s="2">
        <v>6</v>
      </c>
      <c r="P1596" s="2" t="s">
        <v>551</v>
      </c>
      <c r="Q1596" s="2" t="s">
        <v>551</v>
      </c>
      <c r="R1596" s="2" t="s">
        <v>551</v>
      </c>
      <c r="S1596" s="1">
        <v>28</v>
      </c>
    </row>
    <row r="1597" spans="1:19" x14ac:dyDescent="0.25">
      <c r="A1597" s="12">
        <v>45855</v>
      </c>
      <c r="B1597" s="48" t="s">
        <v>1608</v>
      </c>
      <c r="C1597" s="1">
        <v>11</v>
      </c>
      <c r="D1597" s="1">
        <v>24</v>
      </c>
      <c r="E1597" s="1">
        <v>25</v>
      </c>
      <c r="F1597" s="1">
        <f t="shared" si="83"/>
        <v>21.5</v>
      </c>
      <c r="G1597" s="1">
        <v>20</v>
      </c>
      <c r="H1597" s="1">
        <f t="shared" si="84"/>
        <v>23.5</v>
      </c>
      <c r="I1597" s="1">
        <v>36</v>
      </c>
      <c r="J1597" s="1">
        <f t="shared" si="85"/>
        <v>42.5</v>
      </c>
      <c r="K1597" s="1">
        <v>3</v>
      </c>
      <c r="L1597" s="1">
        <v>3</v>
      </c>
      <c r="M1597" s="2">
        <v>6</v>
      </c>
      <c r="P1597" s="2" t="s">
        <v>551</v>
      </c>
      <c r="Q1597" s="2" t="s">
        <v>551</v>
      </c>
      <c r="R1597" s="2" t="s">
        <v>551</v>
      </c>
      <c r="S1597" s="1">
        <v>29</v>
      </c>
    </row>
    <row r="1598" spans="1:19" x14ac:dyDescent="0.25">
      <c r="A1598" s="12">
        <v>45862</v>
      </c>
      <c r="B1598" s="48" t="s">
        <v>1609</v>
      </c>
      <c r="C1598" s="1">
        <v>11</v>
      </c>
      <c r="D1598" s="1">
        <v>15</v>
      </c>
      <c r="E1598" s="1">
        <v>26</v>
      </c>
      <c r="F1598" s="1">
        <f t="shared" ref="F1598:F1642" si="86">AVERAGE(E1546,E1494,E1442,E1390)</f>
        <v>22</v>
      </c>
      <c r="G1598" s="1">
        <v>26</v>
      </c>
      <c r="H1598" s="1">
        <f t="shared" ref="H1598:H1662" si="87">AVERAGE(G1546,G1494,G1442,G1390)</f>
        <v>25.75</v>
      </c>
      <c r="I1598" s="1">
        <v>37</v>
      </c>
      <c r="J1598" s="1">
        <f t="shared" ref="J1598:J1662" si="88">AVERAGE(I1546,I1494,I1442,I1390)</f>
        <v>39.75</v>
      </c>
      <c r="K1598" s="1">
        <v>5</v>
      </c>
      <c r="L1598" s="1">
        <v>5</v>
      </c>
      <c r="M1598" s="2">
        <v>10</v>
      </c>
      <c r="P1598" s="2" t="s">
        <v>551</v>
      </c>
      <c r="Q1598" s="2" t="s">
        <v>551</v>
      </c>
      <c r="R1598" s="2" t="s">
        <v>551</v>
      </c>
      <c r="S1598" s="1">
        <v>30</v>
      </c>
    </row>
    <row r="1599" spans="1:19" x14ac:dyDescent="0.25">
      <c r="A1599" s="12">
        <v>45869</v>
      </c>
      <c r="B1599" s="48" t="s">
        <v>1610</v>
      </c>
      <c r="C1599" s="1">
        <v>10</v>
      </c>
      <c r="D1599" s="1">
        <v>12</v>
      </c>
      <c r="E1599" s="1">
        <v>22</v>
      </c>
      <c r="F1599" s="1">
        <f t="shared" si="86"/>
        <v>22</v>
      </c>
      <c r="G1599" s="1">
        <v>30</v>
      </c>
      <c r="H1599" s="1">
        <f t="shared" si="87"/>
        <v>27</v>
      </c>
      <c r="I1599" s="1">
        <v>39</v>
      </c>
      <c r="J1599" s="1">
        <f t="shared" si="88"/>
        <v>32.75</v>
      </c>
      <c r="K1599" s="1">
        <v>4</v>
      </c>
      <c r="L1599" s="1">
        <v>4</v>
      </c>
      <c r="M1599" s="2">
        <v>8</v>
      </c>
      <c r="P1599" s="2" t="s">
        <v>551</v>
      </c>
      <c r="Q1599" s="2" t="s">
        <v>551</v>
      </c>
      <c r="R1599" s="2" t="s">
        <v>551</v>
      </c>
      <c r="S1599" s="1">
        <v>31</v>
      </c>
    </row>
    <row r="1600" spans="1:19" x14ac:dyDescent="0.25">
      <c r="A1600" s="12">
        <v>45876</v>
      </c>
      <c r="B1600" s="48" t="s">
        <v>1611</v>
      </c>
      <c r="C1600" s="1">
        <v>9</v>
      </c>
      <c r="D1600" s="1">
        <v>9</v>
      </c>
      <c r="E1600" s="1">
        <v>18</v>
      </c>
      <c r="F1600" s="1">
        <f t="shared" si="86"/>
        <v>21.75</v>
      </c>
      <c r="G1600" s="1">
        <v>29</v>
      </c>
      <c r="H1600" s="1">
        <f t="shared" si="87"/>
        <v>23.75</v>
      </c>
      <c r="I1600" s="1">
        <v>33</v>
      </c>
      <c r="J1600" s="1">
        <f t="shared" si="88"/>
        <v>32.75</v>
      </c>
      <c r="K1600" s="1">
        <v>3</v>
      </c>
      <c r="L1600" s="1">
        <v>2</v>
      </c>
      <c r="M1600" s="2">
        <v>5</v>
      </c>
      <c r="P1600" s="2" t="s">
        <v>551</v>
      </c>
      <c r="Q1600" s="2" t="s">
        <v>551</v>
      </c>
      <c r="R1600" s="2" t="s">
        <v>551</v>
      </c>
      <c r="S1600" s="1">
        <v>32</v>
      </c>
    </row>
    <row r="1601" spans="1:19" x14ac:dyDescent="0.25">
      <c r="A1601" s="12">
        <v>45883</v>
      </c>
      <c r="B1601" s="48" t="s">
        <v>1612</v>
      </c>
      <c r="C1601" s="1">
        <v>7</v>
      </c>
      <c r="D1601" s="1">
        <v>19</v>
      </c>
      <c r="E1601" s="1">
        <v>26</v>
      </c>
      <c r="F1601" s="1">
        <f t="shared" si="86"/>
        <v>18.5</v>
      </c>
      <c r="G1601" s="1">
        <v>11</v>
      </c>
      <c r="H1601" s="1">
        <f t="shared" si="87"/>
        <v>22.25</v>
      </c>
      <c r="I1601" s="1">
        <v>47</v>
      </c>
      <c r="J1601" s="1">
        <f t="shared" si="88"/>
        <v>35</v>
      </c>
      <c r="K1601" s="1">
        <v>3</v>
      </c>
      <c r="L1601" s="1">
        <v>7</v>
      </c>
      <c r="M1601" s="2">
        <v>10</v>
      </c>
      <c r="P1601" s="2" t="s">
        <v>551</v>
      </c>
      <c r="Q1601" s="2" t="s">
        <v>551</v>
      </c>
      <c r="R1601" s="2" t="s">
        <v>551</v>
      </c>
      <c r="S1601" s="1">
        <v>33</v>
      </c>
    </row>
    <row r="1602" spans="1:19" x14ac:dyDescent="0.25">
      <c r="A1602" s="12">
        <v>45890</v>
      </c>
      <c r="B1602" s="48" t="s">
        <v>1613</v>
      </c>
      <c r="C1602" s="1">
        <v>9</v>
      </c>
      <c r="D1602" s="1">
        <v>11</v>
      </c>
      <c r="E1602" s="1">
        <v>20</v>
      </c>
      <c r="F1602" s="1">
        <f t="shared" si="86"/>
        <v>21</v>
      </c>
      <c r="G1602" s="1">
        <v>25</v>
      </c>
      <c r="H1602" s="1">
        <f t="shared" si="87"/>
        <v>21.5</v>
      </c>
      <c r="I1602" s="1">
        <v>49</v>
      </c>
      <c r="J1602" s="1">
        <f t="shared" si="88"/>
        <v>35.5</v>
      </c>
      <c r="K1602" s="1">
        <v>4</v>
      </c>
      <c r="L1602" s="1">
        <v>4</v>
      </c>
      <c r="M1602" s="2">
        <v>8</v>
      </c>
      <c r="P1602" s="2" t="s">
        <v>551</v>
      </c>
      <c r="Q1602" s="2" t="s">
        <v>551</v>
      </c>
      <c r="R1602" s="2" t="s">
        <v>551</v>
      </c>
      <c r="S1602" s="1">
        <v>34</v>
      </c>
    </row>
    <row r="1603" spans="1:19" x14ac:dyDescent="0.25">
      <c r="A1603" s="12">
        <v>45897</v>
      </c>
      <c r="B1603" s="48" t="s">
        <v>1614</v>
      </c>
      <c r="C1603" s="1">
        <v>8</v>
      </c>
      <c r="D1603" s="1">
        <v>20</v>
      </c>
      <c r="E1603" s="1">
        <v>28</v>
      </c>
      <c r="F1603" s="1">
        <f t="shared" si="86"/>
        <v>17</v>
      </c>
      <c r="G1603" s="1">
        <v>34</v>
      </c>
      <c r="H1603" s="1">
        <f t="shared" si="87"/>
        <v>18.75</v>
      </c>
      <c r="I1603" s="1">
        <v>45</v>
      </c>
      <c r="J1603" s="1">
        <f t="shared" si="88"/>
        <v>34.25</v>
      </c>
      <c r="K1603" s="1">
        <v>3</v>
      </c>
      <c r="L1603" s="1">
        <v>6</v>
      </c>
      <c r="M1603" s="2">
        <v>9</v>
      </c>
      <c r="P1603" s="2" t="s">
        <v>551</v>
      </c>
      <c r="Q1603" s="2" t="s">
        <v>551</v>
      </c>
      <c r="R1603" s="2" t="s">
        <v>551</v>
      </c>
      <c r="S1603" s="1">
        <v>35</v>
      </c>
    </row>
    <row r="1604" spans="1:19" x14ac:dyDescent="0.25">
      <c r="A1604" s="12">
        <v>45904</v>
      </c>
      <c r="B1604" s="48" t="s">
        <v>1615</v>
      </c>
      <c r="C1604" s="1">
        <v>10</v>
      </c>
      <c r="D1604" s="1">
        <v>14</v>
      </c>
      <c r="E1604" s="1">
        <v>24</v>
      </c>
      <c r="F1604" s="1">
        <f t="shared" si="86"/>
        <v>24.75</v>
      </c>
      <c r="G1604" s="1">
        <v>26</v>
      </c>
      <c r="H1604" s="1">
        <f t="shared" si="87"/>
        <v>18.25</v>
      </c>
      <c r="I1604" s="1">
        <v>47</v>
      </c>
      <c r="J1604" s="1">
        <f t="shared" si="88"/>
        <v>37.5</v>
      </c>
      <c r="K1604" s="1">
        <v>3</v>
      </c>
      <c r="L1604" s="1">
        <v>7</v>
      </c>
      <c r="M1604" s="2">
        <v>10</v>
      </c>
      <c r="P1604" s="2" t="s">
        <v>551</v>
      </c>
      <c r="Q1604" s="2" t="s">
        <v>551</v>
      </c>
      <c r="R1604" s="2" t="s">
        <v>551</v>
      </c>
      <c r="S1604" s="1">
        <v>36</v>
      </c>
    </row>
    <row r="1605" spans="1:19" x14ac:dyDescent="0.25">
      <c r="A1605" s="12">
        <v>45911</v>
      </c>
      <c r="B1605" s="48" t="s">
        <v>1616</v>
      </c>
      <c r="C1605" s="1">
        <v>11</v>
      </c>
      <c r="D1605" s="1">
        <v>16</v>
      </c>
      <c r="E1605" s="1">
        <v>27</v>
      </c>
      <c r="F1605" s="1">
        <f t="shared" si="86"/>
        <v>28.25</v>
      </c>
      <c r="G1605" s="1">
        <v>30</v>
      </c>
      <c r="H1605" s="1">
        <f t="shared" si="87"/>
        <v>18.5</v>
      </c>
      <c r="I1605" s="1">
        <v>55</v>
      </c>
      <c r="J1605" s="1">
        <f t="shared" si="88"/>
        <v>41</v>
      </c>
      <c r="K1605" s="1">
        <v>5</v>
      </c>
      <c r="L1605" s="1">
        <v>8</v>
      </c>
      <c r="M1605" s="1">
        <v>13</v>
      </c>
      <c r="P1605" s="2" t="s">
        <v>551</v>
      </c>
      <c r="Q1605" s="2" t="s">
        <v>551</v>
      </c>
      <c r="R1605" s="2" t="s">
        <v>551</v>
      </c>
      <c r="S1605" s="1">
        <v>37</v>
      </c>
    </row>
    <row r="1606" spans="1:19" x14ac:dyDescent="0.25">
      <c r="A1606" s="12">
        <v>45918</v>
      </c>
      <c r="B1606" s="48" t="s">
        <v>1617</v>
      </c>
      <c r="C1606" s="1">
        <v>9</v>
      </c>
      <c r="D1606" s="1">
        <v>13</v>
      </c>
      <c r="E1606" s="26">
        <v>22</v>
      </c>
      <c r="F1606" s="1">
        <f t="shared" si="86"/>
        <v>39.25</v>
      </c>
      <c r="G1606" s="26">
        <v>37</v>
      </c>
      <c r="H1606" s="1">
        <f t="shared" si="87"/>
        <v>22.75</v>
      </c>
      <c r="I1606" s="26">
        <v>42</v>
      </c>
      <c r="J1606" s="1">
        <f t="shared" si="88"/>
        <v>46</v>
      </c>
      <c r="K1606" s="1">
        <v>5</v>
      </c>
      <c r="L1606" s="1">
        <v>9</v>
      </c>
      <c r="M1606" s="26">
        <v>14</v>
      </c>
      <c r="P1606" s="2" t="s">
        <v>551</v>
      </c>
      <c r="Q1606" s="2" t="s">
        <v>551</v>
      </c>
      <c r="R1606" s="2" t="s">
        <v>551</v>
      </c>
      <c r="S1606" s="1">
        <v>38</v>
      </c>
    </row>
    <row r="1607" spans="1:19" x14ac:dyDescent="0.25">
      <c r="A1607" s="12">
        <v>45925</v>
      </c>
      <c r="B1607" s="48" t="s">
        <v>1637</v>
      </c>
      <c r="C1607" s="1">
        <v>10</v>
      </c>
      <c r="D1607" s="1">
        <v>21</v>
      </c>
      <c r="E1607" s="1">
        <v>31</v>
      </c>
      <c r="F1607" s="1">
        <f t="shared" si="86"/>
        <v>38.5</v>
      </c>
      <c r="G1607" s="1">
        <v>35</v>
      </c>
      <c r="H1607" s="1">
        <f t="shared" si="87"/>
        <v>25.5</v>
      </c>
      <c r="I1607" s="1">
        <v>46</v>
      </c>
      <c r="J1607" s="1">
        <f t="shared" si="88"/>
        <v>47</v>
      </c>
      <c r="K1607" s="1">
        <v>4</v>
      </c>
      <c r="L1607" s="1">
        <v>9</v>
      </c>
      <c r="M1607" s="1">
        <v>13</v>
      </c>
      <c r="P1607" s="2" t="s">
        <v>551</v>
      </c>
      <c r="Q1607" s="2" t="s">
        <v>551</v>
      </c>
      <c r="R1607" s="2" t="s">
        <v>551</v>
      </c>
      <c r="S1607" s="1">
        <v>39</v>
      </c>
    </row>
    <row r="1608" spans="1:19" x14ac:dyDescent="0.25">
      <c r="A1608" s="12">
        <v>45932</v>
      </c>
      <c r="B1608" s="48" t="s">
        <v>1638</v>
      </c>
      <c r="C1608" s="1">
        <v>12</v>
      </c>
      <c r="D1608" s="1">
        <v>19</v>
      </c>
      <c r="E1608" s="1">
        <v>31</v>
      </c>
      <c r="F1608" s="1">
        <f t="shared" si="86"/>
        <v>38.25</v>
      </c>
      <c r="G1608" s="1">
        <v>31</v>
      </c>
      <c r="H1608" s="1">
        <f t="shared" si="87"/>
        <v>29.75</v>
      </c>
      <c r="I1608" s="1">
        <v>44</v>
      </c>
      <c r="J1608" s="1">
        <f t="shared" si="88"/>
        <v>50.75</v>
      </c>
      <c r="K1608" s="1">
        <v>2</v>
      </c>
      <c r="L1608" s="1">
        <v>5</v>
      </c>
      <c r="M1608" s="1">
        <v>7</v>
      </c>
      <c r="P1608" s="2" t="s">
        <v>551</v>
      </c>
      <c r="Q1608" s="2" t="s">
        <v>551</v>
      </c>
      <c r="R1608" s="2" t="s">
        <v>551</v>
      </c>
      <c r="S1608" s="1">
        <v>40</v>
      </c>
    </row>
    <row r="1609" spans="1:19" x14ac:dyDescent="0.25">
      <c r="A1609" s="12">
        <v>45939</v>
      </c>
      <c r="B1609" s="48" t="s">
        <v>1639</v>
      </c>
      <c r="C1609" s="1">
        <v>11</v>
      </c>
      <c r="D1609" s="1">
        <v>18</v>
      </c>
      <c r="E1609" s="1">
        <v>29</v>
      </c>
      <c r="F1609" s="1">
        <f t="shared" si="86"/>
        <v>33.25</v>
      </c>
      <c r="G1609" s="1">
        <v>30</v>
      </c>
      <c r="H1609" s="1">
        <f t="shared" si="87"/>
        <v>30.25</v>
      </c>
      <c r="I1609" s="1">
        <v>41</v>
      </c>
      <c r="J1609" s="1">
        <f t="shared" si="88"/>
        <v>52.25</v>
      </c>
      <c r="K1609" s="1">
        <v>2</v>
      </c>
      <c r="L1609" s="1">
        <v>7</v>
      </c>
      <c r="M1609" s="1">
        <v>9</v>
      </c>
      <c r="P1609" s="2" t="s">
        <v>551</v>
      </c>
      <c r="Q1609" s="2" t="s">
        <v>551</v>
      </c>
      <c r="R1609" s="2" t="s">
        <v>551</v>
      </c>
      <c r="S1609" s="1">
        <v>41</v>
      </c>
    </row>
    <row r="1610" spans="1:19" x14ac:dyDescent="0.25">
      <c r="A1610" s="12">
        <v>45946</v>
      </c>
      <c r="B1610" s="48" t="s">
        <v>1640</v>
      </c>
      <c r="C1610" s="1">
        <v>10</v>
      </c>
      <c r="D1610" s="1">
        <v>18</v>
      </c>
      <c r="E1610" s="1">
        <v>28</v>
      </c>
      <c r="F1610" s="1">
        <f t="shared" si="86"/>
        <v>38</v>
      </c>
      <c r="G1610" s="1">
        <v>30</v>
      </c>
      <c r="H1610" s="1">
        <f t="shared" si="87"/>
        <v>34</v>
      </c>
      <c r="I1610" s="1">
        <v>47</v>
      </c>
      <c r="J1610" s="1">
        <f t="shared" si="88"/>
        <v>43</v>
      </c>
      <c r="K1610" s="1">
        <v>2</v>
      </c>
      <c r="L1610" s="1">
        <v>11</v>
      </c>
      <c r="M1610" s="1">
        <v>13</v>
      </c>
      <c r="P1610" s="2" t="s">
        <v>551</v>
      </c>
      <c r="Q1610" s="2" t="s">
        <v>551</v>
      </c>
      <c r="R1610" s="2" t="s">
        <v>551</v>
      </c>
      <c r="S1610" s="1">
        <v>42</v>
      </c>
    </row>
    <row r="1611" spans="1:19" x14ac:dyDescent="0.25">
      <c r="A1611" s="12">
        <v>45953</v>
      </c>
      <c r="B1611" s="48" t="s">
        <v>1641</v>
      </c>
      <c r="C1611" s="1">
        <v>10</v>
      </c>
      <c r="D1611" s="1">
        <v>19</v>
      </c>
      <c r="E1611" s="1">
        <v>29</v>
      </c>
      <c r="F1611" s="1">
        <f t="shared" si="86"/>
        <v>41.25</v>
      </c>
      <c r="G1611" s="1">
        <v>33</v>
      </c>
      <c r="H1611" s="1">
        <f t="shared" si="87"/>
        <v>29.5</v>
      </c>
      <c r="I1611" s="1">
        <v>43</v>
      </c>
      <c r="J1611" s="1">
        <f t="shared" si="88"/>
        <v>48.5</v>
      </c>
      <c r="K1611" s="1">
        <v>2</v>
      </c>
      <c r="L1611" s="1">
        <v>13</v>
      </c>
      <c r="M1611" s="1">
        <v>15</v>
      </c>
      <c r="P1611" s="2" t="s">
        <v>551</v>
      </c>
      <c r="Q1611" s="2" t="s">
        <v>551</v>
      </c>
      <c r="R1611" s="2" t="s">
        <v>551</v>
      </c>
      <c r="S1611" s="1">
        <v>43</v>
      </c>
    </row>
    <row r="1612" spans="1:19" x14ac:dyDescent="0.25">
      <c r="A1612" s="12">
        <v>45960</v>
      </c>
      <c r="B1612" s="48" t="s">
        <v>1642</v>
      </c>
      <c r="C1612" s="1">
        <v>10</v>
      </c>
      <c r="D1612" s="1">
        <v>21</v>
      </c>
      <c r="E1612" s="1">
        <v>31</v>
      </c>
      <c r="F1612" s="1">
        <f t="shared" si="86"/>
        <v>34.25</v>
      </c>
      <c r="G1612" s="1">
        <v>31</v>
      </c>
      <c r="H1612" s="1">
        <f t="shared" si="87"/>
        <v>32</v>
      </c>
      <c r="I1612" s="1">
        <v>39</v>
      </c>
      <c r="J1612" s="1">
        <f t="shared" si="88"/>
        <v>53.25</v>
      </c>
      <c r="K1612" s="1">
        <v>5</v>
      </c>
      <c r="L1612" s="1">
        <v>9</v>
      </c>
      <c r="M1612" s="1">
        <v>14</v>
      </c>
      <c r="P1612" s="2" t="s">
        <v>551</v>
      </c>
      <c r="Q1612" s="2" t="s">
        <v>551</v>
      </c>
      <c r="R1612" s="2" t="s">
        <v>551</v>
      </c>
      <c r="S1612" s="1">
        <v>44</v>
      </c>
    </row>
    <row r="1613" spans="1:19" x14ac:dyDescent="0.25">
      <c r="A1613" s="12">
        <v>45967</v>
      </c>
      <c r="B1613" s="48" t="s">
        <v>1643</v>
      </c>
      <c r="C1613" s="1">
        <v>10</v>
      </c>
      <c r="D1613" s="1">
        <v>19</v>
      </c>
      <c r="E1613" s="1">
        <v>29</v>
      </c>
      <c r="F1613" s="1">
        <f t="shared" si="86"/>
        <v>36.5</v>
      </c>
      <c r="G1613" s="1">
        <v>33</v>
      </c>
      <c r="H1613" s="1">
        <f t="shared" si="87"/>
        <v>30.5</v>
      </c>
      <c r="I1613" s="1">
        <v>35</v>
      </c>
      <c r="J1613" s="1">
        <f t="shared" si="88"/>
        <v>54.25</v>
      </c>
      <c r="K1613" s="1">
        <v>5</v>
      </c>
      <c r="L1613" s="1">
        <v>11</v>
      </c>
      <c r="M1613" s="1">
        <v>16</v>
      </c>
      <c r="P1613" s="2" t="s">
        <v>551</v>
      </c>
      <c r="Q1613" s="2" t="s">
        <v>551</v>
      </c>
      <c r="R1613" s="2" t="s">
        <v>551</v>
      </c>
      <c r="S1613" s="1">
        <v>45</v>
      </c>
    </row>
    <row r="1614" spans="1:19" x14ac:dyDescent="0.25">
      <c r="A1614" s="12">
        <v>45974</v>
      </c>
      <c r="B1614" s="48" t="s">
        <v>1644</v>
      </c>
      <c r="C1614" s="1">
        <v>9</v>
      </c>
      <c r="D1614" s="1">
        <v>3</v>
      </c>
      <c r="E1614" s="1">
        <v>12</v>
      </c>
      <c r="F1614" s="1">
        <f t="shared" si="86"/>
        <v>39.25</v>
      </c>
      <c r="G1614" s="1">
        <v>25</v>
      </c>
      <c r="H1614" s="1">
        <f t="shared" si="87"/>
        <v>28.75</v>
      </c>
      <c r="I1614" s="1">
        <v>41</v>
      </c>
      <c r="J1614" s="1">
        <f t="shared" si="88"/>
        <v>51.5</v>
      </c>
      <c r="K1614" s="1">
        <v>5</v>
      </c>
      <c r="L1614" s="1">
        <v>13</v>
      </c>
      <c r="M1614" s="1">
        <v>18</v>
      </c>
      <c r="P1614" s="2" t="s">
        <v>551</v>
      </c>
      <c r="Q1614" s="2" t="s">
        <v>551</v>
      </c>
      <c r="R1614" s="2" t="s">
        <v>551</v>
      </c>
      <c r="S1614" s="1">
        <v>46</v>
      </c>
    </row>
    <row r="1615" spans="1:19" x14ac:dyDescent="0.25">
      <c r="A1615" s="12">
        <v>45981</v>
      </c>
      <c r="B1615" s="48" t="s">
        <v>1645</v>
      </c>
      <c r="C1615" s="1">
        <v>8</v>
      </c>
      <c r="D1615" s="1">
        <v>9</v>
      </c>
      <c r="E1615" s="1">
        <v>17</v>
      </c>
      <c r="F1615" s="1">
        <f t="shared" si="86"/>
        <v>33.5</v>
      </c>
      <c r="G1615" s="1">
        <v>25</v>
      </c>
      <c r="H1615" s="1">
        <f t="shared" si="87"/>
        <v>28.5</v>
      </c>
      <c r="I1615" s="1">
        <v>42</v>
      </c>
      <c r="J1615" s="1">
        <f t="shared" si="88"/>
        <v>39.5</v>
      </c>
      <c r="K1615" s="1">
        <v>5</v>
      </c>
      <c r="L1615" s="1">
        <v>11</v>
      </c>
      <c r="M1615" s="1">
        <v>16</v>
      </c>
      <c r="P1615" s="2" t="s">
        <v>551</v>
      </c>
      <c r="Q1615" s="2" t="s">
        <v>551</v>
      </c>
      <c r="R1615" s="2" t="s">
        <v>551</v>
      </c>
      <c r="S1615" s="1">
        <v>47</v>
      </c>
    </row>
    <row r="1616" spans="1:19" x14ac:dyDescent="0.25">
      <c r="A1616" s="12">
        <v>45988</v>
      </c>
      <c r="B1616" s="48" t="s">
        <v>1646</v>
      </c>
      <c r="C1616" s="1">
        <v>9</v>
      </c>
      <c r="D1616" s="1">
        <v>17</v>
      </c>
      <c r="E1616" s="1">
        <v>26</v>
      </c>
      <c r="F1616" s="1">
        <f t="shared" si="86"/>
        <v>36.5</v>
      </c>
      <c r="G1616" s="1">
        <v>26</v>
      </c>
      <c r="H1616" s="1">
        <f t="shared" si="87"/>
        <v>31.5</v>
      </c>
      <c r="I1616" s="1">
        <v>49</v>
      </c>
      <c r="J1616" s="1">
        <f t="shared" si="88"/>
        <v>47.25</v>
      </c>
      <c r="K1616" s="2" t="s">
        <v>551</v>
      </c>
      <c r="L1616" s="2" t="s">
        <v>551</v>
      </c>
      <c r="M1616" s="2" t="s">
        <v>551</v>
      </c>
      <c r="P1616" s="2" t="s">
        <v>551</v>
      </c>
      <c r="Q1616" s="2" t="s">
        <v>551</v>
      </c>
      <c r="R1616" s="2" t="s">
        <v>551</v>
      </c>
      <c r="S1616" s="1">
        <v>48</v>
      </c>
    </row>
    <row r="1617" spans="1:19" x14ac:dyDescent="0.25">
      <c r="A1617" s="12">
        <v>45995</v>
      </c>
      <c r="B1617" s="48" t="s">
        <v>1647</v>
      </c>
      <c r="C1617" s="1">
        <v>12</v>
      </c>
      <c r="D1617" s="1">
        <v>12</v>
      </c>
      <c r="E1617" s="1">
        <v>24</v>
      </c>
      <c r="F1617" s="1">
        <f t="shared" si="86"/>
        <v>30.5</v>
      </c>
      <c r="G1617" s="1">
        <v>30</v>
      </c>
      <c r="H1617" s="1">
        <f t="shared" si="87"/>
        <v>31</v>
      </c>
      <c r="I1617" s="1">
        <v>42</v>
      </c>
      <c r="J1617" s="1">
        <f t="shared" si="88"/>
        <v>53.75</v>
      </c>
      <c r="K1617" s="1">
        <v>4</v>
      </c>
      <c r="L1617" s="1">
        <v>6</v>
      </c>
      <c r="M1617" s="1">
        <v>10</v>
      </c>
      <c r="P1617" s="2" t="s">
        <v>551</v>
      </c>
      <c r="Q1617" s="2" t="s">
        <v>551</v>
      </c>
      <c r="R1617" s="2" t="s">
        <v>551</v>
      </c>
      <c r="S1617" s="1">
        <v>49</v>
      </c>
    </row>
    <row r="1618" spans="1:19" x14ac:dyDescent="0.25">
      <c r="A1618" s="12">
        <v>46002</v>
      </c>
      <c r="B1618" s="48" t="s">
        <v>1648</v>
      </c>
      <c r="C1618" s="1">
        <v>10</v>
      </c>
      <c r="D1618" s="1">
        <v>16</v>
      </c>
      <c r="E1618" s="1">
        <v>26</v>
      </c>
      <c r="F1618" s="1">
        <f t="shared" si="86"/>
        <v>31.25</v>
      </c>
      <c r="G1618" s="1">
        <v>27</v>
      </c>
      <c r="H1618" s="1">
        <f t="shared" si="87"/>
        <v>33</v>
      </c>
      <c r="I1618" s="1">
        <v>43</v>
      </c>
      <c r="J1618" s="1">
        <f t="shared" si="88"/>
        <v>53</v>
      </c>
      <c r="K1618" s="1">
        <v>5</v>
      </c>
      <c r="L1618" s="1">
        <v>10</v>
      </c>
      <c r="M1618" s="1">
        <v>15</v>
      </c>
      <c r="P1618" s="2" t="s">
        <v>551</v>
      </c>
      <c r="Q1618" s="2" t="s">
        <v>551</v>
      </c>
      <c r="R1618" s="2" t="s">
        <v>551</v>
      </c>
      <c r="S1618" s="1">
        <v>50</v>
      </c>
    </row>
    <row r="1619" spans="1:19" x14ac:dyDescent="0.25">
      <c r="A1619" s="12">
        <v>46009</v>
      </c>
      <c r="B1619" s="48" t="s">
        <v>1649</v>
      </c>
      <c r="C1619" s="1">
        <v>10</v>
      </c>
      <c r="D1619" s="1">
        <v>19</v>
      </c>
      <c r="E1619" s="1">
        <v>29</v>
      </c>
      <c r="F1619" s="1">
        <f t="shared" si="86"/>
        <v>33</v>
      </c>
      <c r="G1619" s="1">
        <v>30</v>
      </c>
      <c r="H1619" s="1">
        <f t="shared" si="87"/>
        <v>31.25</v>
      </c>
      <c r="I1619" s="1">
        <v>42</v>
      </c>
      <c r="J1619" s="1">
        <f t="shared" si="88"/>
        <v>43.25</v>
      </c>
      <c r="K1619" s="1">
        <v>4</v>
      </c>
      <c r="L1619" s="1">
        <v>8</v>
      </c>
      <c r="M1619" s="1">
        <v>12</v>
      </c>
      <c r="P1619" s="2" t="s">
        <v>551</v>
      </c>
      <c r="Q1619" s="2" t="s">
        <v>551</v>
      </c>
      <c r="R1619" s="2" t="s">
        <v>551</v>
      </c>
      <c r="S1619" s="1">
        <v>51</v>
      </c>
    </row>
    <row r="1620" spans="1:19" x14ac:dyDescent="0.25">
      <c r="A1620" s="12">
        <v>46016</v>
      </c>
      <c r="B1620" s="48" t="s">
        <v>1650</v>
      </c>
      <c r="C1620" s="1">
        <v>11</v>
      </c>
      <c r="D1620" s="1">
        <v>21</v>
      </c>
      <c r="E1620" s="1">
        <v>32</v>
      </c>
      <c r="F1620" s="1">
        <f t="shared" si="86"/>
        <v>34</v>
      </c>
      <c r="G1620" s="1">
        <v>29</v>
      </c>
      <c r="H1620" s="1">
        <f t="shared" si="87"/>
        <v>26.25</v>
      </c>
      <c r="I1620" s="1">
        <v>40</v>
      </c>
      <c r="J1620" s="1">
        <f t="shared" si="88"/>
        <v>51.25</v>
      </c>
      <c r="K1620" s="2" t="s">
        <v>551</v>
      </c>
      <c r="L1620" s="2" t="s">
        <v>551</v>
      </c>
      <c r="M1620" s="2" t="s">
        <v>551</v>
      </c>
      <c r="P1620" s="2" t="s">
        <v>551</v>
      </c>
      <c r="Q1620" s="2" t="s">
        <v>551</v>
      </c>
      <c r="R1620" s="2" t="s">
        <v>551</v>
      </c>
      <c r="S1620" s="1">
        <v>52</v>
      </c>
    </row>
    <row r="1621" spans="1:19" x14ac:dyDescent="0.25">
      <c r="A1621" s="12">
        <v>46023</v>
      </c>
      <c r="B1621" s="48" t="s">
        <v>1657</v>
      </c>
      <c r="C1621" s="1">
        <v>11</v>
      </c>
      <c r="D1621" s="1">
        <v>18</v>
      </c>
      <c r="E1621" s="1">
        <v>29</v>
      </c>
      <c r="F1621" s="1">
        <f t="shared" si="86"/>
        <v>32</v>
      </c>
      <c r="G1621" s="1">
        <v>23</v>
      </c>
      <c r="H1621" s="1">
        <f t="shared" si="87"/>
        <v>26</v>
      </c>
      <c r="I1621" s="1">
        <v>49</v>
      </c>
      <c r="J1621" s="1">
        <f t="shared" si="88"/>
        <v>54.75</v>
      </c>
      <c r="K1621" s="2" t="s">
        <v>551</v>
      </c>
      <c r="L1621" s="2" t="s">
        <v>551</v>
      </c>
      <c r="M1621" s="2" t="s">
        <v>551</v>
      </c>
      <c r="P1621" s="2" t="s">
        <v>551</v>
      </c>
      <c r="Q1621" s="2" t="s">
        <v>551</v>
      </c>
      <c r="R1621" s="2" t="s">
        <v>551</v>
      </c>
      <c r="S1621" s="1">
        <v>1</v>
      </c>
    </row>
    <row r="1622" spans="1:19" x14ac:dyDescent="0.25">
      <c r="A1622" s="12">
        <v>46030</v>
      </c>
      <c r="B1622" s="48" t="s">
        <v>1658</v>
      </c>
      <c r="C1622" s="1">
        <v>10</v>
      </c>
      <c r="D1622" s="1">
        <v>15</v>
      </c>
      <c r="E1622" s="1">
        <v>25</v>
      </c>
      <c r="F1622" s="1">
        <f t="shared" si="86"/>
        <v>34</v>
      </c>
      <c r="G1622" s="1">
        <v>33</v>
      </c>
      <c r="H1622" s="1">
        <f t="shared" si="87"/>
        <v>30.25</v>
      </c>
      <c r="I1622" s="1">
        <v>55</v>
      </c>
      <c r="J1622" s="1">
        <f t="shared" si="88"/>
        <v>52.25</v>
      </c>
      <c r="K1622" s="2">
        <v>5</v>
      </c>
      <c r="L1622" s="2">
        <v>11</v>
      </c>
      <c r="M1622" s="2">
        <v>16</v>
      </c>
      <c r="P1622" s="2" t="s">
        <v>551</v>
      </c>
      <c r="Q1622" s="2" t="s">
        <v>551</v>
      </c>
      <c r="R1622" s="2" t="s">
        <v>551</v>
      </c>
      <c r="S1622" s="1">
        <v>2</v>
      </c>
    </row>
    <row r="1623" spans="1:19" x14ac:dyDescent="0.25">
      <c r="A1623" s="12">
        <v>46037</v>
      </c>
      <c r="B1623" s="48" t="s">
        <v>1659</v>
      </c>
      <c r="C1623" s="1">
        <v>12</v>
      </c>
      <c r="D1623" s="1">
        <v>16</v>
      </c>
      <c r="E1623" s="1">
        <v>28</v>
      </c>
      <c r="F1623" s="1">
        <f t="shared" si="86"/>
        <v>35.75</v>
      </c>
      <c r="G1623" s="1">
        <v>36</v>
      </c>
      <c r="H1623" s="1">
        <f t="shared" si="87"/>
        <v>32.5</v>
      </c>
      <c r="I1623" s="1">
        <v>57</v>
      </c>
      <c r="J1623" s="1">
        <f t="shared" si="88"/>
        <v>48.25</v>
      </c>
      <c r="K1623" s="2">
        <v>5</v>
      </c>
      <c r="L1623" s="2">
        <v>9</v>
      </c>
      <c r="M1623" s="2">
        <v>14</v>
      </c>
      <c r="P1623" s="2" t="s">
        <v>551</v>
      </c>
      <c r="Q1623" s="2" t="s">
        <v>551</v>
      </c>
      <c r="R1623" s="2" t="s">
        <v>551</v>
      </c>
      <c r="S1623" s="1">
        <v>3</v>
      </c>
    </row>
    <row r="1624" spans="1:19" x14ac:dyDescent="0.25">
      <c r="A1624" s="12">
        <v>46044</v>
      </c>
      <c r="B1624" s="48" t="s">
        <v>1660</v>
      </c>
      <c r="C1624" s="1">
        <v>11</v>
      </c>
      <c r="D1624" s="1">
        <v>26</v>
      </c>
      <c r="E1624" s="1">
        <v>37</v>
      </c>
      <c r="F1624" s="1">
        <f t="shared" si="86"/>
        <v>36.75</v>
      </c>
      <c r="G1624" s="1">
        <v>30</v>
      </c>
      <c r="H1624" s="1">
        <f t="shared" si="87"/>
        <v>28.25</v>
      </c>
      <c r="I1624" s="1">
        <v>44</v>
      </c>
      <c r="J1624" s="1">
        <f t="shared" si="88"/>
        <v>46.25</v>
      </c>
      <c r="K1624" s="2">
        <v>5</v>
      </c>
      <c r="L1624" s="2">
        <v>10</v>
      </c>
      <c r="M1624" s="2">
        <v>15</v>
      </c>
      <c r="P1624" s="2" t="s">
        <v>551</v>
      </c>
      <c r="Q1624" s="2" t="s">
        <v>551</v>
      </c>
      <c r="R1624" s="2" t="s">
        <v>551</v>
      </c>
      <c r="S1624" s="1">
        <v>4</v>
      </c>
    </row>
    <row r="1625" spans="1:19" x14ac:dyDescent="0.25">
      <c r="A1625" s="12">
        <v>46051</v>
      </c>
      <c r="B1625" s="48" t="s">
        <v>1661</v>
      </c>
      <c r="C1625" s="1">
        <v>13</v>
      </c>
      <c r="D1625" s="1">
        <v>26</v>
      </c>
      <c r="E1625" s="1">
        <v>39</v>
      </c>
      <c r="F1625" s="1">
        <f t="shared" si="86"/>
        <v>34.5</v>
      </c>
      <c r="G1625" s="1">
        <v>29</v>
      </c>
      <c r="H1625" s="1">
        <f t="shared" si="87"/>
        <v>29</v>
      </c>
      <c r="I1625" s="1">
        <v>61</v>
      </c>
      <c r="J1625" s="1">
        <f t="shared" si="88"/>
        <v>44.75</v>
      </c>
      <c r="K1625" s="1">
        <v>5</v>
      </c>
      <c r="L1625" s="1">
        <v>8</v>
      </c>
      <c r="M1625" s="1">
        <v>13</v>
      </c>
      <c r="P1625" s="2" t="s">
        <v>551</v>
      </c>
      <c r="Q1625" s="2" t="s">
        <v>551</v>
      </c>
      <c r="R1625" s="2" t="s">
        <v>551</v>
      </c>
      <c r="S1625" s="1">
        <v>5</v>
      </c>
    </row>
    <row r="1626" spans="1:19" x14ac:dyDescent="0.25">
      <c r="A1626" s="12">
        <v>46058</v>
      </c>
      <c r="B1626" s="48" t="s">
        <v>1662</v>
      </c>
      <c r="C1626" s="1">
        <v>14</v>
      </c>
      <c r="D1626" s="1">
        <v>25</v>
      </c>
      <c r="E1626" s="1">
        <v>39</v>
      </c>
      <c r="F1626" s="1">
        <f t="shared" si="86"/>
        <v>32.75</v>
      </c>
      <c r="G1626" s="1">
        <v>39</v>
      </c>
      <c r="H1626" s="1">
        <f t="shared" si="87"/>
        <v>31.25</v>
      </c>
      <c r="I1626" s="1">
        <v>50</v>
      </c>
      <c r="J1626" s="1">
        <f t="shared" si="88"/>
        <v>48.5</v>
      </c>
      <c r="K1626" s="1">
        <v>5</v>
      </c>
      <c r="L1626" s="1">
        <v>9</v>
      </c>
      <c r="M1626" s="1">
        <v>14</v>
      </c>
      <c r="P1626" s="2" t="s">
        <v>551</v>
      </c>
      <c r="Q1626" s="2" t="s">
        <v>551</v>
      </c>
      <c r="R1626" s="2" t="s">
        <v>551</v>
      </c>
      <c r="S1626" s="1">
        <v>6</v>
      </c>
    </row>
    <row r="1627" spans="1:19" x14ac:dyDescent="0.25">
      <c r="A1627" s="12">
        <v>46065</v>
      </c>
      <c r="B1627" s="48" t="s">
        <v>1663</v>
      </c>
      <c r="C1627" s="1">
        <v>11</v>
      </c>
      <c r="D1627" s="1">
        <v>30</v>
      </c>
      <c r="E1627" s="1">
        <v>41</v>
      </c>
      <c r="F1627" s="1">
        <f t="shared" si="86"/>
        <v>31.75</v>
      </c>
      <c r="G1627" s="1">
        <v>31</v>
      </c>
      <c r="H1627" s="1">
        <f t="shared" si="87"/>
        <v>32.25</v>
      </c>
      <c r="I1627" s="1">
        <v>40</v>
      </c>
      <c r="J1627" s="1">
        <f t="shared" si="88"/>
        <v>44.25</v>
      </c>
      <c r="K1627" s="1">
        <v>5</v>
      </c>
      <c r="L1627" s="1">
        <v>16</v>
      </c>
      <c r="M1627" s="1">
        <v>21</v>
      </c>
      <c r="P1627" s="2" t="s">
        <v>551</v>
      </c>
      <c r="Q1627" s="2" t="s">
        <v>551</v>
      </c>
      <c r="R1627" s="2" t="s">
        <v>551</v>
      </c>
      <c r="S1627" s="1">
        <v>7</v>
      </c>
    </row>
    <row r="1628" spans="1:19" x14ac:dyDescent="0.25">
      <c r="A1628" s="12">
        <v>46072</v>
      </c>
      <c r="B1628" s="48" t="s">
        <v>1664</v>
      </c>
      <c r="C1628" s="1">
        <v>11</v>
      </c>
      <c r="D1628" s="1">
        <v>33</v>
      </c>
      <c r="E1628" s="1">
        <v>44</v>
      </c>
      <c r="F1628" s="1">
        <f t="shared" si="86"/>
        <v>33.75</v>
      </c>
      <c r="G1628" s="1">
        <v>28</v>
      </c>
      <c r="H1628" s="1">
        <f t="shared" si="87"/>
        <v>27.25</v>
      </c>
      <c r="I1628" s="1">
        <v>37</v>
      </c>
      <c r="J1628" s="1">
        <f t="shared" si="88"/>
        <v>43</v>
      </c>
      <c r="K1628" s="1">
        <v>4</v>
      </c>
      <c r="L1628" s="1">
        <v>16</v>
      </c>
      <c r="M1628" s="1">
        <v>20</v>
      </c>
      <c r="P1628" s="2" t="s">
        <v>551</v>
      </c>
      <c r="Q1628" s="2" t="s">
        <v>551</v>
      </c>
      <c r="R1628" s="2" t="s">
        <v>551</v>
      </c>
      <c r="S1628" s="1">
        <v>8</v>
      </c>
    </row>
    <row r="1629" spans="1:19" x14ac:dyDescent="0.25">
      <c r="A1629" s="12">
        <v>46079</v>
      </c>
      <c r="B1629" s="48" t="s">
        <v>1665</v>
      </c>
      <c r="C1629" s="1">
        <v>11</v>
      </c>
      <c r="D1629" s="1">
        <v>25</v>
      </c>
      <c r="E1629" s="1">
        <v>36</v>
      </c>
      <c r="F1629" s="1">
        <f t="shared" si="86"/>
        <v>28</v>
      </c>
      <c r="G1629" s="1">
        <v>34</v>
      </c>
      <c r="H1629" s="1">
        <f t="shared" si="87"/>
        <v>31</v>
      </c>
      <c r="I1629" s="1">
        <v>48</v>
      </c>
      <c r="J1629" s="1">
        <f t="shared" si="88"/>
        <v>45</v>
      </c>
      <c r="K1629" s="1">
        <v>5</v>
      </c>
      <c r="L1629" s="1">
        <v>10</v>
      </c>
      <c r="M1629" s="1">
        <v>15</v>
      </c>
      <c r="P1629" s="2" t="s">
        <v>551</v>
      </c>
      <c r="Q1629" s="2" t="s">
        <v>551</v>
      </c>
      <c r="R1629" s="2" t="s">
        <v>551</v>
      </c>
      <c r="S1629" s="1">
        <v>8</v>
      </c>
    </row>
    <row r="1630" spans="1:19" x14ac:dyDescent="0.25">
      <c r="A1630" s="12">
        <v>46086</v>
      </c>
      <c r="B1630" s="48" t="s">
        <v>1666</v>
      </c>
      <c r="C1630" s="1">
        <v>11</v>
      </c>
      <c r="D1630" s="1">
        <v>18</v>
      </c>
      <c r="E1630" s="1">
        <v>29</v>
      </c>
      <c r="F1630" s="1">
        <f t="shared" si="86"/>
        <v>29.5</v>
      </c>
      <c r="G1630" s="1">
        <v>34</v>
      </c>
      <c r="H1630" s="1">
        <f t="shared" si="87"/>
        <v>29</v>
      </c>
      <c r="I1630" s="1">
        <v>58</v>
      </c>
      <c r="J1630" s="1">
        <f t="shared" si="88"/>
        <v>49.5</v>
      </c>
      <c r="K1630" s="1">
        <v>4</v>
      </c>
      <c r="L1630" s="1">
        <v>9</v>
      </c>
      <c r="M1630" s="1">
        <v>13</v>
      </c>
      <c r="P1630" s="2" t="s">
        <v>551</v>
      </c>
      <c r="Q1630" s="2" t="s">
        <v>551</v>
      </c>
      <c r="R1630" s="2" t="s">
        <v>551</v>
      </c>
      <c r="S1630" s="1">
        <v>9</v>
      </c>
    </row>
    <row r="1631" spans="1:19" x14ac:dyDescent="0.25">
      <c r="A1631" s="12">
        <v>46093</v>
      </c>
      <c r="B1631" s="48" t="s">
        <v>1667</v>
      </c>
      <c r="C1631" s="1">
        <v>11</v>
      </c>
      <c r="D1631" s="1">
        <v>22</v>
      </c>
      <c r="E1631" s="1">
        <v>33</v>
      </c>
      <c r="F1631" s="1">
        <f t="shared" si="86"/>
        <v>25.75</v>
      </c>
      <c r="G1631" s="1">
        <v>32</v>
      </c>
      <c r="H1631" s="1">
        <f t="shared" si="87"/>
        <v>31.75</v>
      </c>
      <c r="I1631" s="1">
        <v>58</v>
      </c>
      <c r="J1631" s="1">
        <f t="shared" si="88"/>
        <v>49.5</v>
      </c>
      <c r="K1631" s="1">
        <v>5</v>
      </c>
      <c r="L1631" s="1">
        <v>14</v>
      </c>
      <c r="M1631" s="1">
        <v>19</v>
      </c>
      <c r="P1631" s="2" t="s">
        <v>551</v>
      </c>
      <c r="Q1631" s="2" t="s">
        <v>551</v>
      </c>
      <c r="R1631" s="2" t="s">
        <v>551</v>
      </c>
      <c r="S1631" s="1">
        <v>10</v>
      </c>
    </row>
    <row r="1632" spans="1:19" x14ac:dyDescent="0.25">
      <c r="A1632" s="12">
        <v>46100</v>
      </c>
      <c r="B1632" s="48" t="s">
        <v>1668</v>
      </c>
      <c r="C1632" s="1">
        <v>10</v>
      </c>
      <c r="D1632" s="1">
        <v>26</v>
      </c>
      <c r="E1632" s="1">
        <v>36</v>
      </c>
      <c r="F1632" s="1">
        <f t="shared" si="86"/>
        <v>29</v>
      </c>
      <c r="G1632" s="1">
        <v>40</v>
      </c>
      <c r="H1632" s="1">
        <f t="shared" si="87"/>
        <v>31.25</v>
      </c>
      <c r="I1632" s="1">
        <v>36</v>
      </c>
      <c r="J1632" s="1">
        <f t="shared" si="88"/>
        <v>44.25</v>
      </c>
      <c r="K1632" s="1">
        <v>5</v>
      </c>
      <c r="L1632" s="1">
        <v>12</v>
      </c>
      <c r="M1632" s="1">
        <v>17</v>
      </c>
      <c r="P1632" s="2" t="s">
        <v>551</v>
      </c>
      <c r="Q1632" s="2" t="s">
        <v>551</v>
      </c>
      <c r="R1632" s="2" t="s">
        <v>551</v>
      </c>
      <c r="S1632" s="1">
        <v>11</v>
      </c>
    </row>
    <row r="1633" spans="1:19" x14ac:dyDescent="0.25">
      <c r="A1633" s="12">
        <v>46107</v>
      </c>
      <c r="B1633" s="48" t="s">
        <v>1668</v>
      </c>
      <c r="C1633" s="1">
        <v>10</v>
      </c>
      <c r="D1633" s="1">
        <v>29</v>
      </c>
      <c r="E1633" s="1">
        <v>39</v>
      </c>
      <c r="F1633" s="1">
        <f t="shared" si="86"/>
        <v>30.5</v>
      </c>
      <c r="G1633" s="1">
        <v>33</v>
      </c>
      <c r="H1633" s="1">
        <f t="shared" si="87"/>
        <v>31</v>
      </c>
      <c r="I1633" s="1">
        <v>42</v>
      </c>
      <c r="J1633" s="1">
        <f t="shared" si="88"/>
        <v>39.25</v>
      </c>
      <c r="K1633" s="1">
        <v>4</v>
      </c>
      <c r="L1633" s="1">
        <v>10</v>
      </c>
      <c r="M1633" s="1">
        <v>14</v>
      </c>
      <c r="P1633" s="2" t="s">
        <v>551</v>
      </c>
      <c r="Q1633" s="2" t="s">
        <v>551</v>
      </c>
      <c r="R1633" s="2" t="s">
        <v>551</v>
      </c>
      <c r="S1633" s="1">
        <v>12</v>
      </c>
    </row>
    <row r="1634" spans="1:19" x14ac:dyDescent="0.25">
      <c r="A1634" s="12">
        <v>46114</v>
      </c>
      <c r="B1634" s="48" t="s">
        <v>1669</v>
      </c>
      <c r="C1634" s="1">
        <v>10</v>
      </c>
      <c r="D1634" s="1">
        <v>17</v>
      </c>
      <c r="E1634" s="1">
        <v>27</v>
      </c>
      <c r="F1634" s="1">
        <f t="shared" si="86"/>
        <v>23.25</v>
      </c>
      <c r="G1634" s="1">
        <v>29</v>
      </c>
      <c r="H1634" s="1">
        <f t="shared" si="87"/>
        <v>30</v>
      </c>
      <c r="I1634" s="1">
        <v>41</v>
      </c>
      <c r="J1634" s="1">
        <f t="shared" si="88"/>
        <v>43</v>
      </c>
      <c r="K1634" s="1">
        <v>4</v>
      </c>
      <c r="L1634" s="1">
        <v>8</v>
      </c>
      <c r="M1634" s="1">
        <v>12</v>
      </c>
      <c r="P1634" s="2" t="s">
        <v>551</v>
      </c>
      <c r="Q1634" s="2" t="s">
        <v>551</v>
      </c>
      <c r="R1634" s="2" t="s">
        <v>551</v>
      </c>
      <c r="S1634" s="1">
        <v>13</v>
      </c>
    </row>
    <row r="1635" spans="1:19" x14ac:dyDescent="0.25">
      <c r="A1635" s="12">
        <v>46121</v>
      </c>
      <c r="B1635" s="48" t="s">
        <v>1670</v>
      </c>
      <c r="C1635" s="1">
        <v>10</v>
      </c>
      <c r="D1635" s="1">
        <v>10</v>
      </c>
      <c r="E1635" s="1">
        <v>20</v>
      </c>
      <c r="F1635" s="1">
        <f t="shared" si="86"/>
        <v>23.75</v>
      </c>
      <c r="G1635" s="1">
        <v>30</v>
      </c>
      <c r="H1635" s="1">
        <f t="shared" si="87"/>
        <v>28</v>
      </c>
      <c r="I1635" s="1">
        <v>33</v>
      </c>
      <c r="J1635" s="1">
        <f t="shared" si="88"/>
        <v>45.75</v>
      </c>
      <c r="K1635" s="1">
        <v>5</v>
      </c>
      <c r="L1635" s="1">
        <v>10</v>
      </c>
      <c r="M1635" s="1">
        <v>15</v>
      </c>
      <c r="P1635" s="2" t="s">
        <v>551</v>
      </c>
      <c r="Q1635" s="2" t="s">
        <v>551</v>
      </c>
      <c r="R1635" s="2" t="s">
        <v>551</v>
      </c>
      <c r="S1635" s="1">
        <v>14</v>
      </c>
    </row>
    <row r="1636" spans="1:19" x14ac:dyDescent="0.25">
      <c r="A1636" s="12">
        <v>46128</v>
      </c>
      <c r="B1636" s="48" t="s">
        <v>1671</v>
      </c>
      <c r="C1636" s="1">
        <v>10</v>
      </c>
      <c r="D1636" s="1">
        <v>12</v>
      </c>
      <c r="E1636" s="1">
        <v>22</v>
      </c>
      <c r="F1636" s="1">
        <f t="shared" si="86"/>
        <v>23</v>
      </c>
      <c r="G1636" s="1">
        <v>27</v>
      </c>
      <c r="H1636" s="1">
        <f t="shared" si="87"/>
        <v>31.75</v>
      </c>
      <c r="I1636" s="1">
        <v>40</v>
      </c>
      <c r="J1636" s="1">
        <f t="shared" si="88"/>
        <v>34.5</v>
      </c>
      <c r="K1636" s="1">
        <v>5</v>
      </c>
      <c r="L1636" s="1">
        <v>10</v>
      </c>
      <c r="M1636" s="1">
        <v>15</v>
      </c>
      <c r="P1636" s="2" t="s">
        <v>551</v>
      </c>
      <c r="Q1636" s="2" t="s">
        <v>551</v>
      </c>
      <c r="R1636" s="2" t="s">
        <v>551</v>
      </c>
      <c r="S1636" s="1">
        <v>15</v>
      </c>
    </row>
    <row r="1637" spans="1:19" x14ac:dyDescent="0.25">
      <c r="A1637" s="12">
        <v>46135</v>
      </c>
      <c r="B1637" s="48" t="s">
        <v>1672</v>
      </c>
      <c r="C1637" s="1">
        <v>8</v>
      </c>
      <c r="D1637" s="1">
        <v>11</v>
      </c>
      <c r="E1637" s="1">
        <v>19</v>
      </c>
      <c r="F1637" s="1">
        <f t="shared" si="86"/>
        <v>22.75</v>
      </c>
      <c r="G1637" s="1">
        <v>26</v>
      </c>
      <c r="H1637" s="1">
        <f t="shared" si="87"/>
        <v>29.25</v>
      </c>
      <c r="I1637" s="1">
        <v>42</v>
      </c>
      <c r="J1637" s="1">
        <f t="shared" si="88"/>
        <v>34.5</v>
      </c>
      <c r="K1637" s="1">
        <v>5</v>
      </c>
      <c r="L1637" s="1">
        <v>15</v>
      </c>
      <c r="M1637" s="1">
        <v>20</v>
      </c>
      <c r="P1637" s="2" t="s">
        <v>551</v>
      </c>
      <c r="Q1637" s="2" t="s">
        <v>551</v>
      </c>
      <c r="R1637" s="2" t="s">
        <v>551</v>
      </c>
      <c r="S1637" s="1">
        <v>16</v>
      </c>
    </row>
    <row r="1638" spans="1:19" x14ac:dyDescent="0.25">
      <c r="A1638" s="12">
        <v>46142</v>
      </c>
      <c r="B1638" s="48" t="s">
        <v>1673</v>
      </c>
      <c r="C1638" s="1">
        <v>10</v>
      </c>
      <c r="D1638" s="1">
        <v>9</v>
      </c>
      <c r="E1638" s="1">
        <v>19</v>
      </c>
      <c r="F1638" s="1">
        <f t="shared" si="86"/>
        <v>16.5</v>
      </c>
      <c r="G1638" s="1">
        <v>29</v>
      </c>
      <c r="H1638" s="1">
        <f t="shared" si="87"/>
        <v>26.75</v>
      </c>
      <c r="I1638" s="1">
        <v>40</v>
      </c>
      <c r="J1638" s="1">
        <f t="shared" si="88"/>
        <v>34.25</v>
      </c>
      <c r="K1638" s="55">
        <v>2</v>
      </c>
      <c r="L1638" s="55">
        <v>16</v>
      </c>
      <c r="M1638" s="1">
        <v>21</v>
      </c>
      <c r="P1638" s="2" t="s">
        <v>551</v>
      </c>
      <c r="Q1638" s="2" t="s">
        <v>551</v>
      </c>
      <c r="R1638" s="2" t="s">
        <v>551</v>
      </c>
      <c r="S1638" s="1">
        <v>17</v>
      </c>
    </row>
    <row r="1639" spans="1:19" x14ac:dyDescent="0.25">
      <c r="A1639" s="12">
        <v>46149</v>
      </c>
      <c r="B1639" s="48" t="s">
        <v>1674</v>
      </c>
      <c r="C1639" s="1">
        <v>3</v>
      </c>
      <c r="D1639" s="1">
        <v>7</v>
      </c>
      <c r="E1639" s="1">
        <v>10</v>
      </c>
      <c r="F1639" s="1">
        <f t="shared" si="86"/>
        <v>16.5</v>
      </c>
      <c r="G1639" s="1">
        <v>29</v>
      </c>
      <c r="H1639" s="1">
        <f t="shared" si="87"/>
        <v>25</v>
      </c>
      <c r="I1639" s="1">
        <v>48</v>
      </c>
      <c r="J1639" s="1">
        <f t="shared" si="88"/>
        <v>37.75</v>
      </c>
      <c r="K1639" s="1">
        <v>4</v>
      </c>
      <c r="L1639" s="1">
        <v>16</v>
      </c>
      <c r="M1639" s="1">
        <v>20</v>
      </c>
      <c r="P1639" s="2" t="s">
        <v>551</v>
      </c>
      <c r="Q1639" s="2" t="s">
        <v>551</v>
      </c>
      <c r="R1639" s="2" t="s">
        <v>551</v>
      </c>
      <c r="S1639" s="1">
        <v>18</v>
      </c>
    </row>
    <row r="1640" spans="1:19" x14ac:dyDescent="0.25">
      <c r="A1640" s="12">
        <v>46156</v>
      </c>
      <c r="B1640" s="48" t="s">
        <v>1675</v>
      </c>
      <c r="C1640" s="1">
        <v>8</v>
      </c>
      <c r="D1640" s="1">
        <v>11</v>
      </c>
      <c r="E1640" s="1">
        <v>19</v>
      </c>
      <c r="F1640" s="1">
        <f t="shared" si="86"/>
        <v>15.75</v>
      </c>
      <c r="G1640" s="1">
        <v>22</v>
      </c>
      <c r="H1640" s="1">
        <f t="shared" si="87"/>
        <v>24.75</v>
      </c>
      <c r="I1640" s="1">
        <v>37</v>
      </c>
      <c r="J1640" s="1">
        <f t="shared" si="88"/>
        <v>37.75</v>
      </c>
      <c r="K1640" s="1">
        <v>4</v>
      </c>
      <c r="L1640" s="1">
        <v>16</v>
      </c>
      <c r="M1640" s="1">
        <v>20</v>
      </c>
      <c r="P1640" s="2" t="s">
        <v>551</v>
      </c>
      <c r="Q1640" s="2" t="s">
        <v>551</v>
      </c>
      <c r="R1640" s="2" t="s">
        <v>551</v>
      </c>
      <c r="S1640" s="1">
        <v>19</v>
      </c>
    </row>
    <row r="1641" spans="1:19" x14ac:dyDescent="0.25">
      <c r="A1641" s="12">
        <v>46163</v>
      </c>
      <c r="B1641" s="48" t="s">
        <v>1676</v>
      </c>
      <c r="C1641" s="1">
        <v>9</v>
      </c>
      <c r="D1641" s="1">
        <v>21</v>
      </c>
      <c r="E1641" s="1">
        <v>30</v>
      </c>
      <c r="F1641" s="1">
        <f t="shared" si="86"/>
        <v>22.75</v>
      </c>
      <c r="G1641" s="1">
        <v>25</v>
      </c>
      <c r="H1641" s="1">
        <f t="shared" si="87"/>
        <v>22.75</v>
      </c>
      <c r="I1641" s="1">
        <v>38</v>
      </c>
      <c r="J1641" s="1">
        <f t="shared" si="88"/>
        <v>35.25</v>
      </c>
      <c r="K1641" s="1">
        <v>4</v>
      </c>
      <c r="L1641" s="1">
        <v>13</v>
      </c>
      <c r="M1641" s="1">
        <v>17</v>
      </c>
      <c r="P1641" s="2" t="s">
        <v>551</v>
      </c>
      <c r="Q1641" s="2" t="s">
        <v>551</v>
      </c>
      <c r="R1641" s="2" t="s">
        <v>551</v>
      </c>
      <c r="S1641" s="1">
        <v>20</v>
      </c>
    </row>
    <row r="1642" spans="1:19" x14ac:dyDescent="0.25">
      <c r="A1642" s="12">
        <v>46170</v>
      </c>
      <c r="B1642" s="48" t="s">
        <v>1677</v>
      </c>
      <c r="C1642" s="1">
        <v>11</v>
      </c>
      <c r="D1642" s="1">
        <v>21</v>
      </c>
      <c r="E1642" s="1">
        <v>32</v>
      </c>
      <c r="F1642" s="1">
        <f t="shared" si="86"/>
        <v>19.75</v>
      </c>
      <c r="G1642" s="1">
        <v>21</v>
      </c>
      <c r="H1642" s="1">
        <f t="shared" si="87"/>
        <v>23.5</v>
      </c>
      <c r="I1642" s="1">
        <v>40</v>
      </c>
      <c r="J1642" s="1">
        <f t="shared" si="88"/>
        <v>38.5</v>
      </c>
      <c r="K1642" s="1">
        <v>2</v>
      </c>
      <c r="L1642" s="1">
        <v>12</v>
      </c>
      <c r="M1642" s="1">
        <v>14</v>
      </c>
      <c r="P1642" s="2" t="s">
        <v>551</v>
      </c>
      <c r="Q1642" s="2" t="s">
        <v>551</v>
      </c>
      <c r="R1642" s="2" t="s">
        <v>551</v>
      </c>
      <c r="S1642" s="1">
        <v>21</v>
      </c>
    </row>
    <row r="1643" spans="1:19" x14ac:dyDescent="0.25">
      <c r="A1643" s="12">
        <v>46177</v>
      </c>
      <c r="B1643" s="56">
        <v>46177</v>
      </c>
      <c r="C1643" s="1">
        <v>7</v>
      </c>
      <c r="D1643" s="1">
        <v>13</v>
      </c>
      <c r="E1643" s="1">
        <v>20</v>
      </c>
      <c r="F1643" s="1">
        <f t="shared" ref="F1643:F1662" si="89">AVERAGE(E1591,E1539,E1487,E1435)</f>
        <v>19</v>
      </c>
      <c r="G1643" s="1">
        <v>36</v>
      </c>
      <c r="H1643" s="1">
        <f t="shared" si="87"/>
        <v>26.5</v>
      </c>
      <c r="I1643" s="1">
        <v>29</v>
      </c>
      <c r="J1643" s="1">
        <f t="shared" si="88"/>
        <v>35</v>
      </c>
      <c r="K1643" s="1">
        <v>5</v>
      </c>
      <c r="L1643" s="1">
        <v>13</v>
      </c>
      <c r="M1643" s="1">
        <v>18</v>
      </c>
      <c r="P1643" s="2" t="s">
        <v>551</v>
      </c>
      <c r="Q1643" s="2" t="s">
        <v>551</v>
      </c>
      <c r="R1643" s="2" t="s">
        <v>551</v>
      </c>
      <c r="S1643" s="1">
        <v>22</v>
      </c>
    </row>
    <row r="1644" spans="1:19" x14ac:dyDescent="0.25">
      <c r="A1644" s="12">
        <v>46184</v>
      </c>
      <c r="B1644" s="48" t="s">
        <v>1678</v>
      </c>
      <c r="C1644" s="1">
        <v>10</v>
      </c>
      <c r="D1644" s="1">
        <v>6</v>
      </c>
      <c r="E1644" s="1">
        <v>16</v>
      </c>
      <c r="F1644" s="1">
        <f t="shared" si="89"/>
        <v>16.25</v>
      </c>
      <c r="G1644" s="1">
        <v>28</v>
      </c>
      <c r="H1644" s="1">
        <f t="shared" si="87"/>
        <v>25.75</v>
      </c>
      <c r="I1644" s="1">
        <v>26</v>
      </c>
      <c r="J1644" s="1">
        <f t="shared" si="88"/>
        <v>32.5</v>
      </c>
      <c r="K1644" s="1">
        <v>4</v>
      </c>
      <c r="L1644" s="1">
        <v>13</v>
      </c>
      <c r="M1644" s="1">
        <v>17</v>
      </c>
      <c r="P1644" s="2" t="s">
        <v>551</v>
      </c>
      <c r="Q1644" s="2" t="s">
        <v>551</v>
      </c>
      <c r="R1644" s="2" t="s">
        <v>551</v>
      </c>
      <c r="S1644" s="1">
        <v>23</v>
      </c>
    </row>
    <row r="1645" spans="1:19" x14ac:dyDescent="0.25">
      <c r="A1645" s="12">
        <v>46191</v>
      </c>
      <c r="B1645" s="48" t="s">
        <v>1679</v>
      </c>
      <c r="C1645" s="1">
        <v>13</v>
      </c>
      <c r="D1645" s="1">
        <v>15</v>
      </c>
      <c r="E1645" s="1">
        <v>28</v>
      </c>
      <c r="F1645" s="1">
        <f t="shared" si="89"/>
        <v>17.5</v>
      </c>
      <c r="G1645" s="1">
        <v>20</v>
      </c>
      <c r="H1645" s="1">
        <f t="shared" si="87"/>
        <v>20.75</v>
      </c>
      <c r="I1645" s="1">
        <v>39</v>
      </c>
      <c r="J1645" s="1">
        <f t="shared" si="88"/>
        <v>32.75</v>
      </c>
      <c r="K1645" s="1">
        <v>5</v>
      </c>
      <c r="L1645" s="1">
        <v>5</v>
      </c>
      <c r="M1645" s="1">
        <v>10</v>
      </c>
      <c r="P1645" s="2" t="s">
        <v>551</v>
      </c>
      <c r="Q1645" s="2" t="s">
        <v>551</v>
      </c>
      <c r="R1645" s="2" t="s">
        <v>551</v>
      </c>
      <c r="S1645" s="1">
        <v>24</v>
      </c>
    </row>
    <row r="1646" spans="1:19" x14ac:dyDescent="0.25">
      <c r="A1646" s="12">
        <v>46198</v>
      </c>
      <c r="B1646" s="48" t="s">
        <v>1680</v>
      </c>
      <c r="C1646" s="1">
        <v>10</v>
      </c>
      <c r="D1646" s="1">
        <v>16</v>
      </c>
      <c r="E1646" s="1">
        <v>26</v>
      </c>
      <c r="F1646" s="1">
        <f t="shared" si="89"/>
        <v>16.25</v>
      </c>
      <c r="G1646" s="1">
        <v>27</v>
      </c>
      <c r="H1646" s="1">
        <f t="shared" si="87"/>
        <v>20.25</v>
      </c>
      <c r="I1646" s="1">
        <v>40</v>
      </c>
      <c r="J1646" s="1">
        <f t="shared" si="88"/>
        <v>38.75</v>
      </c>
      <c r="K1646" s="1">
        <v>4</v>
      </c>
      <c r="L1646" s="1">
        <v>3</v>
      </c>
      <c r="M1646" s="1">
        <v>7</v>
      </c>
      <c r="P1646" s="2" t="s">
        <v>551</v>
      </c>
      <c r="Q1646" s="2" t="s">
        <v>551</v>
      </c>
      <c r="R1646" s="2" t="s">
        <v>551</v>
      </c>
      <c r="S1646" s="1">
        <v>25</v>
      </c>
    </row>
    <row r="1647" spans="1:19" x14ac:dyDescent="0.25">
      <c r="A1647" s="12">
        <v>46205</v>
      </c>
      <c r="B1647" s="48" t="s">
        <v>1681</v>
      </c>
      <c r="C1647" s="1">
        <v>9</v>
      </c>
      <c r="D1647" s="1">
        <v>12</v>
      </c>
      <c r="E1647" s="1">
        <v>21</v>
      </c>
      <c r="F1647" s="1">
        <f t="shared" si="89"/>
        <v>18</v>
      </c>
      <c r="G1647" s="1">
        <v>32</v>
      </c>
      <c r="H1647" s="1">
        <f t="shared" si="87"/>
        <v>20.75</v>
      </c>
      <c r="I1647" s="1">
        <v>39</v>
      </c>
      <c r="J1647" s="1">
        <f t="shared" si="88"/>
        <v>34.25</v>
      </c>
      <c r="K1647" s="1">
        <v>4</v>
      </c>
      <c r="L1647" s="1">
        <v>6</v>
      </c>
      <c r="M1647" s="1">
        <v>10</v>
      </c>
      <c r="P1647" s="2" t="s">
        <v>551</v>
      </c>
      <c r="Q1647" s="2" t="s">
        <v>551</v>
      </c>
      <c r="R1647" s="2" t="s">
        <v>551</v>
      </c>
      <c r="S1647" s="1">
        <v>26</v>
      </c>
    </row>
    <row r="1648" spans="1:19" x14ac:dyDescent="0.25">
      <c r="A1648" s="12">
        <v>46212</v>
      </c>
      <c r="B1648" s="48" t="s">
        <v>1682</v>
      </c>
      <c r="C1648" s="1">
        <v>9</v>
      </c>
      <c r="D1648" s="1">
        <v>17</v>
      </c>
      <c r="E1648" s="1">
        <v>26</v>
      </c>
      <c r="F1648" s="1">
        <f t="shared" si="89"/>
        <v>19</v>
      </c>
      <c r="G1648" s="1">
        <v>30</v>
      </c>
      <c r="H1648" s="1">
        <f t="shared" si="87"/>
        <v>22.25</v>
      </c>
      <c r="I1648" s="1">
        <v>37</v>
      </c>
      <c r="J1648" s="1">
        <f t="shared" si="88"/>
        <v>37.75</v>
      </c>
      <c r="K1648" s="1">
        <v>4</v>
      </c>
      <c r="L1648" s="1">
        <v>5</v>
      </c>
      <c r="M1648" s="1">
        <v>9</v>
      </c>
      <c r="P1648" s="2" t="s">
        <v>551</v>
      </c>
      <c r="Q1648" s="2" t="s">
        <v>551</v>
      </c>
      <c r="R1648" s="2" t="s">
        <v>551</v>
      </c>
      <c r="S1648" s="1">
        <v>27</v>
      </c>
    </row>
    <row r="1649" spans="1:19" x14ac:dyDescent="0.25">
      <c r="A1649" s="12">
        <v>46219</v>
      </c>
      <c r="B1649" s="48" t="s">
        <v>1683</v>
      </c>
      <c r="C1649" s="1">
        <v>10</v>
      </c>
      <c r="D1649" s="1">
        <v>15</v>
      </c>
      <c r="E1649" s="1">
        <v>25</v>
      </c>
      <c r="F1649" s="1">
        <f t="shared" si="89"/>
        <v>20.5</v>
      </c>
      <c r="G1649" s="1">
        <v>24</v>
      </c>
      <c r="H1649" s="1">
        <f t="shared" si="87"/>
        <v>22</v>
      </c>
      <c r="I1649" s="1">
        <v>42</v>
      </c>
      <c r="J1649" s="1">
        <f t="shared" si="88"/>
        <v>39.25</v>
      </c>
      <c r="K1649" s="1">
        <v>3</v>
      </c>
      <c r="L1649" s="1">
        <v>9</v>
      </c>
      <c r="M1649" s="1">
        <v>12</v>
      </c>
      <c r="P1649" s="2" t="s">
        <v>551</v>
      </c>
      <c r="Q1649" s="2" t="s">
        <v>551</v>
      </c>
      <c r="R1649" s="2" t="s">
        <v>551</v>
      </c>
      <c r="S1649" s="1">
        <v>28</v>
      </c>
    </row>
    <row r="1650" spans="1:19" x14ac:dyDescent="0.25">
      <c r="A1650" s="12">
        <v>46226</v>
      </c>
      <c r="B1650" s="48" t="s">
        <v>1684</v>
      </c>
      <c r="C1650" s="1">
        <v>12</v>
      </c>
      <c r="D1650" s="1">
        <v>22</v>
      </c>
      <c r="E1650" s="1">
        <v>34</v>
      </c>
      <c r="F1650" s="1">
        <f t="shared" si="89"/>
        <v>24.5</v>
      </c>
      <c r="G1650" s="1">
        <v>25</v>
      </c>
      <c r="H1650" s="1">
        <f t="shared" si="87"/>
        <v>23.25</v>
      </c>
      <c r="I1650" s="1">
        <v>41</v>
      </c>
      <c r="J1650" s="1">
        <f t="shared" si="88"/>
        <v>36</v>
      </c>
      <c r="K1650" s="1">
        <v>5</v>
      </c>
      <c r="L1650" s="1">
        <v>11</v>
      </c>
      <c r="M1650" s="1">
        <v>16</v>
      </c>
      <c r="P1650" s="2" t="s">
        <v>551</v>
      </c>
      <c r="Q1650" s="2" t="s">
        <v>551</v>
      </c>
      <c r="R1650" s="2" t="s">
        <v>551</v>
      </c>
      <c r="S1650" s="1">
        <v>29</v>
      </c>
    </row>
    <row r="1651" spans="1:19" x14ac:dyDescent="0.25">
      <c r="A1651" s="12">
        <v>46233</v>
      </c>
      <c r="B1651" s="48" t="s">
        <v>1685</v>
      </c>
      <c r="C1651" s="1">
        <v>10</v>
      </c>
      <c r="D1651" s="1">
        <v>21</v>
      </c>
      <c r="E1651" s="1">
        <v>31</v>
      </c>
      <c r="F1651" s="1">
        <f t="shared" si="89"/>
        <v>21.5</v>
      </c>
      <c r="G1651" s="1">
        <v>27</v>
      </c>
      <c r="H1651" s="1">
        <f t="shared" si="87"/>
        <v>28</v>
      </c>
      <c r="I1651" s="1">
        <v>28</v>
      </c>
      <c r="J1651" s="1">
        <f t="shared" si="88"/>
        <v>31.75</v>
      </c>
      <c r="K1651" s="1">
        <v>2</v>
      </c>
      <c r="L1651" s="1">
        <v>13</v>
      </c>
      <c r="M1651" s="1">
        <v>15</v>
      </c>
      <c r="P1651" s="2" t="s">
        <v>551</v>
      </c>
      <c r="Q1651" s="2" t="s">
        <v>551</v>
      </c>
      <c r="R1651" s="2" t="s">
        <v>551</v>
      </c>
      <c r="S1651" s="1">
        <v>30</v>
      </c>
    </row>
    <row r="1652" spans="1:19" x14ac:dyDescent="0.25">
      <c r="A1652" s="12">
        <v>46240</v>
      </c>
      <c r="B1652" s="48" t="s">
        <v>1686</v>
      </c>
      <c r="C1652" s="1">
        <v>6</v>
      </c>
      <c r="D1652" s="1">
        <v>16</v>
      </c>
      <c r="E1652" s="1">
        <v>22</v>
      </c>
      <c r="F1652" s="1">
        <f t="shared" si="89"/>
        <v>18.5</v>
      </c>
      <c r="G1652" s="1">
        <v>33</v>
      </c>
      <c r="H1652" s="1">
        <f t="shared" si="87"/>
        <v>22.5</v>
      </c>
      <c r="I1652" s="1">
        <v>30</v>
      </c>
      <c r="J1652" s="1">
        <f t="shared" si="88"/>
        <v>32.5</v>
      </c>
      <c r="K1652" s="1">
        <v>5</v>
      </c>
      <c r="L1652" s="1">
        <v>9</v>
      </c>
      <c r="M1652" s="1">
        <v>14</v>
      </c>
      <c r="P1652" s="2" t="s">
        <v>551</v>
      </c>
      <c r="Q1652" s="2" t="s">
        <v>551</v>
      </c>
      <c r="R1652" s="2" t="s">
        <v>551</v>
      </c>
      <c r="S1652" s="1">
        <v>31</v>
      </c>
    </row>
    <row r="1653" spans="1:19" x14ac:dyDescent="0.25">
      <c r="A1653" s="12">
        <v>46247</v>
      </c>
      <c r="B1653" s="48" t="s">
        <v>1687</v>
      </c>
      <c r="C1653" s="1">
        <v>5</v>
      </c>
      <c r="D1653" s="1">
        <v>4</v>
      </c>
      <c r="E1653" s="1">
        <v>9</v>
      </c>
      <c r="F1653" s="1">
        <f t="shared" si="89"/>
        <v>19.5</v>
      </c>
      <c r="G1653" s="1">
        <v>29</v>
      </c>
      <c r="H1653" s="1">
        <f t="shared" si="87"/>
        <v>19</v>
      </c>
      <c r="I1653" s="1">
        <v>31</v>
      </c>
      <c r="J1653" s="1">
        <f t="shared" si="88"/>
        <v>39</v>
      </c>
      <c r="K1653" s="1">
        <v>4</v>
      </c>
      <c r="L1653" s="1">
        <v>8</v>
      </c>
      <c r="M1653" s="1">
        <v>12</v>
      </c>
      <c r="P1653" s="2" t="s">
        <v>551</v>
      </c>
      <c r="Q1653" s="2" t="s">
        <v>551</v>
      </c>
      <c r="R1653" s="2" t="s">
        <v>551</v>
      </c>
      <c r="S1653" s="1">
        <v>32</v>
      </c>
    </row>
    <row r="1654" spans="1:19" x14ac:dyDescent="0.25">
      <c r="A1654" s="12">
        <v>46254</v>
      </c>
      <c r="B1654" s="48" t="s">
        <v>1688</v>
      </c>
      <c r="C1654" s="1">
        <v>5</v>
      </c>
      <c r="D1654" s="1">
        <v>4</v>
      </c>
      <c r="E1654" s="1">
        <v>9</v>
      </c>
      <c r="F1654" s="1">
        <f t="shared" si="89"/>
        <v>19.5</v>
      </c>
      <c r="G1654" s="1">
        <v>23</v>
      </c>
      <c r="H1654" s="1">
        <f t="shared" si="87"/>
        <v>22.5</v>
      </c>
      <c r="I1654" s="1">
        <v>30</v>
      </c>
      <c r="J1654" s="1">
        <f t="shared" si="88"/>
        <v>39.25</v>
      </c>
      <c r="K1654" s="1">
        <v>5</v>
      </c>
      <c r="L1654" s="1">
        <v>8</v>
      </c>
      <c r="M1654" s="1">
        <v>13</v>
      </c>
      <c r="P1654" s="2" t="s">
        <v>551</v>
      </c>
      <c r="Q1654" s="2" t="s">
        <v>551</v>
      </c>
      <c r="R1654" s="2" t="s">
        <v>551</v>
      </c>
      <c r="S1654" s="1">
        <v>33</v>
      </c>
    </row>
    <row r="1655" spans="1:19" x14ac:dyDescent="0.25">
      <c r="A1655" s="12">
        <v>46261</v>
      </c>
      <c r="B1655" s="48" t="s">
        <v>1689</v>
      </c>
      <c r="C1655" s="1">
        <v>5</v>
      </c>
      <c r="D1655" s="1">
        <v>5</v>
      </c>
      <c r="E1655" s="1">
        <v>10</v>
      </c>
      <c r="F1655" s="1">
        <f t="shared" si="89"/>
        <v>21.5</v>
      </c>
      <c r="G1655" s="1">
        <v>18</v>
      </c>
      <c r="H1655" s="1">
        <f t="shared" si="87"/>
        <v>26</v>
      </c>
      <c r="I1655" s="1">
        <v>29</v>
      </c>
      <c r="J1655" s="1">
        <f t="shared" si="88"/>
        <v>41.75</v>
      </c>
      <c r="K1655" s="1">
        <v>4</v>
      </c>
      <c r="L1655" s="1">
        <v>9</v>
      </c>
      <c r="M1655" s="1">
        <v>13</v>
      </c>
      <c r="P1655" s="2" t="s">
        <v>551</v>
      </c>
      <c r="Q1655" s="2" t="s">
        <v>551</v>
      </c>
      <c r="R1655" s="2" t="s">
        <v>551</v>
      </c>
      <c r="S1655" s="1">
        <v>34</v>
      </c>
    </row>
    <row r="1656" spans="1:19" x14ac:dyDescent="0.25">
      <c r="A1656" s="12">
        <v>46268</v>
      </c>
      <c r="B1656" s="48" t="s">
        <v>1690</v>
      </c>
      <c r="C1656" s="1">
        <v>6</v>
      </c>
      <c r="D1656" s="1">
        <v>16</v>
      </c>
      <c r="E1656" s="1">
        <v>22</v>
      </c>
      <c r="F1656" s="1">
        <f t="shared" si="89"/>
        <v>24.75</v>
      </c>
      <c r="G1656" s="1">
        <v>20</v>
      </c>
      <c r="H1656" s="1">
        <f t="shared" si="87"/>
        <v>23.25</v>
      </c>
      <c r="I1656" s="1">
        <v>32</v>
      </c>
      <c r="J1656" s="1">
        <f t="shared" si="88"/>
        <v>41.75</v>
      </c>
      <c r="K1656" s="1">
        <v>4</v>
      </c>
      <c r="L1656" s="1">
        <v>8</v>
      </c>
      <c r="M1656" s="1">
        <v>12</v>
      </c>
      <c r="P1656" s="2" t="s">
        <v>551</v>
      </c>
      <c r="Q1656" s="2" t="s">
        <v>551</v>
      </c>
      <c r="R1656" s="2" t="s">
        <v>551</v>
      </c>
      <c r="S1656" s="1">
        <v>35</v>
      </c>
    </row>
    <row r="1657" spans="1:19" x14ac:dyDescent="0.25">
      <c r="A1657" s="12">
        <v>46275</v>
      </c>
      <c r="B1657" s="48" t="s">
        <v>1692</v>
      </c>
      <c r="C1657" s="1">
        <v>7</v>
      </c>
      <c r="D1657" s="1">
        <v>16</v>
      </c>
      <c r="E1657" s="1">
        <v>23</v>
      </c>
      <c r="F1657" s="1">
        <f t="shared" si="89"/>
        <v>27</v>
      </c>
      <c r="G1657" s="1">
        <v>22</v>
      </c>
      <c r="H1657" s="1">
        <f t="shared" si="87"/>
        <v>24.25</v>
      </c>
      <c r="I1657" s="1">
        <v>49</v>
      </c>
      <c r="J1657" s="1">
        <f t="shared" si="88"/>
        <v>47.75</v>
      </c>
      <c r="K1657" s="1">
        <v>4</v>
      </c>
      <c r="L1657" s="1">
        <v>7</v>
      </c>
      <c r="M1657" s="1">
        <v>11</v>
      </c>
      <c r="P1657" s="2" t="s">
        <v>551</v>
      </c>
      <c r="Q1657" s="2" t="s">
        <v>551</v>
      </c>
      <c r="R1657" s="2" t="s">
        <v>551</v>
      </c>
      <c r="S1657" s="1">
        <v>36</v>
      </c>
    </row>
    <row r="1658" spans="1:19" x14ac:dyDescent="0.25">
      <c r="A1658" s="12">
        <v>46282</v>
      </c>
      <c r="B1658" s="48" t="s">
        <v>1693</v>
      </c>
      <c r="C1658" s="1">
        <v>9</v>
      </c>
      <c r="D1658" s="1">
        <v>12</v>
      </c>
      <c r="E1658" s="1">
        <v>21</v>
      </c>
      <c r="F1658" s="1">
        <f t="shared" si="89"/>
        <v>30.5</v>
      </c>
      <c r="G1658" s="1">
        <v>28</v>
      </c>
      <c r="H1658" s="1">
        <f t="shared" si="87"/>
        <v>27.25</v>
      </c>
      <c r="I1658" s="1">
        <v>51</v>
      </c>
      <c r="J1658" s="1">
        <f t="shared" si="88"/>
        <v>43.25</v>
      </c>
      <c r="K1658" s="1">
        <v>3</v>
      </c>
      <c r="L1658" s="1">
        <v>11</v>
      </c>
      <c r="M1658" s="1">
        <v>14</v>
      </c>
      <c r="P1658" s="2" t="s">
        <v>551</v>
      </c>
      <c r="Q1658" s="2" t="s">
        <v>551</v>
      </c>
      <c r="R1658" s="2" t="s">
        <v>551</v>
      </c>
      <c r="S1658" s="1">
        <v>37</v>
      </c>
    </row>
    <row r="1659" spans="1:19" x14ac:dyDescent="0.25">
      <c r="A1659" s="12">
        <v>46289</v>
      </c>
      <c r="B1659" s="48" t="s">
        <v>1694</v>
      </c>
      <c r="C1659" s="1">
        <v>8</v>
      </c>
      <c r="D1659" s="1">
        <v>17</v>
      </c>
      <c r="E1659" s="1">
        <v>25</v>
      </c>
      <c r="F1659" s="1">
        <f t="shared" si="89"/>
        <v>32</v>
      </c>
      <c r="G1659" s="1">
        <v>29</v>
      </c>
      <c r="H1659" s="1">
        <f t="shared" si="87"/>
        <v>27.75</v>
      </c>
      <c r="I1659" s="1">
        <v>47</v>
      </c>
      <c r="J1659" s="1">
        <f t="shared" si="88"/>
        <v>45.25</v>
      </c>
      <c r="K1659" s="1">
        <v>5</v>
      </c>
      <c r="L1659" s="1">
        <v>6</v>
      </c>
      <c r="M1659" s="1">
        <v>11</v>
      </c>
      <c r="P1659" s="2" t="s">
        <v>551</v>
      </c>
      <c r="Q1659" s="2" t="s">
        <v>551</v>
      </c>
      <c r="R1659" s="2" t="s">
        <v>551</v>
      </c>
      <c r="S1659" s="1">
        <v>38</v>
      </c>
    </row>
    <row r="1660" spans="1:19" x14ac:dyDescent="0.25">
      <c r="A1660" s="12">
        <v>46296</v>
      </c>
      <c r="B1660" s="48" t="s">
        <v>1695</v>
      </c>
      <c r="C1660" s="1">
        <v>10</v>
      </c>
      <c r="D1660" s="1">
        <v>13</v>
      </c>
      <c r="E1660" s="1">
        <v>23</v>
      </c>
      <c r="F1660" s="1">
        <f t="shared" si="89"/>
        <v>33.75</v>
      </c>
      <c r="G1660" s="1">
        <v>39</v>
      </c>
      <c r="H1660" s="1">
        <f t="shared" si="87"/>
        <v>29.5</v>
      </c>
      <c r="I1660" s="1">
        <v>44</v>
      </c>
      <c r="J1660" s="1">
        <f t="shared" si="88"/>
        <v>48.5</v>
      </c>
      <c r="K1660" s="1">
        <v>4</v>
      </c>
      <c r="L1660" s="1">
        <v>12</v>
      </c>
      <c r="M1660" s="1">
        <v>16</v>
      </c>
      <c r="P1660" s="2" t="s">
        <v>551</v>
      </c>
      <c r="Q1660" s="2" t="s">
        <v>551</v>
      </c>
      <c r="R1660" s="2" t="s">
        <v>551</v>
      </c>
      <c r="S1660" s="1">
        <v>39</v>
      </c>
    </row>
    <row r="1661" spans="1:19" x14ac:dyDescent="0.25">
      <c r="A1661" s="12">
        <v>46303</v>
      </c>
      <c r="B1661" s="48" t="s">
        <v>1696</v>
      </c>
      <c r="C1661" s="1">
        <v>9</v>
      </c>
      <c r="D1661" s="1">
        <v>18</v>
      </c>
      <c r="E1661" s="1">
        <v>27</v>
      </c>
      <c r="F1661" s="1">
        <f t="shared" si="89"/>
        <v>32.5</v>
      </c>
      <c r="G1661" s="1">
        <v>28</v>
      </c>
      <c r="H1661" s="1">
        <f t="shared" si="87"/>
        <v>27.25</v>
      </c>
      <c r="I1661" s="1">
        <v>46</v>
      </c>
      <c r="J1661" s="1">
        <f t="shared" si="88"/>
        <v>49.75</v>
      </c>
      <c r="K1661" s="1">
        <v>5</v>
      </c>
      <c r="L1661" s="1">
        <v>12</v>
      </c>
      <c r="M1661" s="1">
        <v>17</v>
      </c>
      <c r="P1661" s="2" t="s">
        <v>551</v>
      </c>
      <c r="Q1661" s="2" t="s">
        <v>551</v>
      </c>
      <c r="R1661" s="2" t="s">
        <v>551</v>
      </c>
      <c r="S1661" s="1">
        <v>40</v>
      </c>
    </row>
    <row r="1662" spans="1:19" x14ac:dyDescent="0.25">
      <c r="A1662" s="12">
        <v>46310</v>
      </c>
      <c r="B1662" s="48" t="s">
        <v>1697</v>
      </c>
      <c r="C1662" s="1">
        <v>10</v>
      </c>
      <c r="D1662" s="1">
        <v>14</v>
      </c>
      <c r="E1662" s="1">
        <v>24</v>
      </c>
      <c r="F1662" s="1">
        <f t="shared" si="89"/>
        <v>35.25</v>
      </c>
      <c r="G1662" s="1">
        <v>31</v>
      </c>
      <c r="H1662" s="1">
        <f t="shared" si="87"/>
        <v>32</v>
      </c>
      <c r="I1662" s="1">
        <v>45</v>
      </c>
      <c r="J1662" s="1">
        <f t="shared" si="88"/>
        <v>43</v>
      </c>
      <c r="K1662" s="1">
        <v>5</v>
      </c>
      <c r="L1662" s="1">
        <v>13</v>
      </c>
      <c r="M1662" s="1">
        <v>18</v>
      </c>
      <c r="P1662" s="2"/>
      <c r="Q1662" s="2"/>
      <c r="R1662" s="2"/>
    </row>
    <row r="1663" spans="1:19" x14ac:dyDescent="0.25">
      <c r="B1663" s="48"/>
      <c r="C1663" s="1"/>
      <c r="D1663" s="1"/>
      <c r="P1663" s="2"/>
      <c r="Q1663" s="2"/>
      <c r="R1663" s="2"/>
    </row>
    <row r="1664" spans="1:19" x14ac:dyDescent="0.25">
      <c r="B1664" s="48"/>
      <c r="C1664" s="1"/>
      <c r="D1664" s="1"/>
      <c r="P1664" s="2"/>
      <c r="Q1664" s="2"/>
      <c r="R1664" s="2"/>
    </row>
    <row r="1665" spans="1:18" x14ac:dyDescent="0.25">
      <c r="B1665" s="48"/>
      <c r="C1665" s="1"/>
      <c r="D1665" s="1"/>
      <c r="P1665" s="2"/>
      <c r="Q1665" s="2"/>
      <c r="R1665" s="2"/>
    </row>
    <row r="1666" spans="1:18" x14ac:dyDescent="0.25">
      <c r="B1666" s="48"/>
      <c r="C1666" s="1"/>
      <c r="D1666" s="1"/>
      <c r="P1666" s="2"/>
      <c r="Q1666" s="2"/>
      <c r="R1666" s="2"/>
    </row>
    <row r="1667" spans="1:18" x14ac:dyDescent="0.25">
      <c r="B1667" s="14"/>
      <c r="C1667" s="1"/>
      <c r="D1667" s="1"/>
      <c r="P1667" s="2"/>
      <c r="Q1667" s="2"/>
      <c r="R1667" s="2"/>
    </row>
    <row r="1668" spans="1:18" x14ac:dyDescent="0.25">
      <c r="B1668" s="14"/>
      <c r="C1668" s="1"/>
      <c r="D1668" s="1"/>
      <c r="P1668" s="2"/>
      <c r="Q1668" s="2"/>
      <c r="R1668" s="2"/>
    </row>
    <row r="1669" spans="1:18" x14ac:dyDescent="0.25">
      <c r="B1669" s="14" t="s">
        <v>1618</v>
      </c>
      <c r="C1669" s="14"/>
      <c r="D1669" s="14"/>
      <c r="E1669" s="26">
        <f>AVERAGE(E1050:E1102)</f>
        <v>43.075471698113205</v>
      </c>
      <c r="F1669" s="26"/>
      <c r="G1669" s="26">
        <f>AVERAGE(G1050:G1102)</f>
        <v>37.433962264150942</v>
      </c>
      <c r="H1669" s="26"/>
      <c r="I1669" s="26">
        <f>AVERAGE(I1050:I1102)</f>
        <v>56.113207547169814</v>
      </c>
      <c r="P1669" s="2"/>
      <c r="Q1669" s="2"/>
      <c r="R1669" s="2"/>
    </row>
    <row r="1670" spans="1:18" x14ac:dyDescent="0.25">
      <c r="B1670" s="25" t="s">
        <v>1619</v>
      </c>
      <c r="C1670" s="25"/>
      <c r="D1670" s="25"/>
      <c r="E1670" s="1" t="s">
        <v>1620</v>
      </c>
      <c r="G1670" s="1" t="s">
        <v>1621</v>
      </c>
      <c r="I1670" s="1" t="s">
        <v>1622</v>
      </c>
      <c r="P1670" s="2"/>
      <c r="Q1670" s="2"/>
      <c r="R1670" s="2"/>
    </row>
    <row r="1671" spans="1:18" x14ac:dyDescent="0.25">
      <c r="B1671" s="1"/>
      <c r="C1671" s="1"/>
      <c r="D1671" s="1"/>
      <c r="P1671" s="2"/>
      <c r="Q1671" s="2"/>
      <c r="R1671" s="2"/>
    </row>
    <row r="1672" spans="1:18" x14ac:dyDescent="0.25">
      <c r="B1672" s="1"/>
      <c r="C1672" s="1"/>
      <c r="D1672" s="1"/>
      <c r="E1672" s="3" t="s">
        <v>0</v>
      </c>
      <c r="G1672" s="3" t="s">
        <v>2</v>
      </c>
      <c r="I1672" s="3" t="s">
        <v>3</v>
      </c>
      <c r="P1672" s="2"/>
      <c r="Q1672" s="2"/>
      <c r="R1672" s="2"/>
    </row>
    <row r="1673" spans="1:18" x14ac:dyDescent="0.25">
      <c r="E1673" s="3" t="s">
        <v>9</v>
      </c>
      <c r="G1673" s="3" t="s">
        <v>16</v>
      </c>
      <c r="I1673" s="39" t="s">
        <v>1623</v>
      </c>
      <c r="L1673" s="1" t="s">
        <v>1624</v>
      </c>
      <c r="P1673" s="2"/>
      <c r="Q1673" s="2"/>
      <c r="R1673" s="2"/>
    </row>
    <row r="1674" spans="1:18" x14ac:dyDescent="0.25">
      <c r="A1674" s="16" t="s">
        <v>1625</v>
      </c>
      <c r="E1674" s="20">
        <f>(E1662/E1610)-1</f>
        <v>-0.1428571428571429</v>
      </c>
      <c r="F1674" s="20"/>
      <c r="G1674" s="20">
        <f>(G1662/G1610)-1</f>
        <v>3.3333333333333437E-2</v>
      </c>
      <c r="H1674" s="20"/>
      <c r="I1674" s="20">
        <f>(I1662/I1610)-1</f>
        <v>-4.2553191489361653E-2</v>
      </c>
      <c r="P1674" s="2"/>
      <c r="Q1674" s="2"/>
      <c r="R1674" s="2"/>
    </row>
    <row r="1675" spans="1:18" x14ac:dyDescent="0.25">
      <c r="A1675" s="16" t="s">
        <v>1626</v>
      </c>
      <c r="E1675" s="17">
        <f>(E1662/F1662)-1</f>
        <v>-0.31914893617021278</v>
      </c>
      <c r="G1675" s="17">
        <f>(G1662/H1662)-1</f>
        <v>-3.125E-2</v>
      </c>
      <c r="I1675" s="17">
        <f>(I1662/J1662)-1</f>
        <v>4.6511627906976827E-2</v>
      </c>
      <c r="P1675" s="2"/>
      <c r="Q1675" s="2"/>
      <c r="R1675" s="2"/>
    </row>
    <row r="1676" spans="1:18" x14ac:dyDescent="0.25">
      <c r="B1676" s="14"/>
      <c r="C1676" s="1"/>
      <c r="D1676" s="1"/>
      <c r="P1676" s="2"/>
      <c r="Q1676" s="2"/>
      <c r="R1676" s="2"/>
    </row>
    <row r="1677" spans="1:18" x14ac:dyDescent="0.25">
      <c r="B1677" s="14"/>
      <c r="C1677" s="1"/>
      <c r="D1677" s="1"/>
      <c r="P1677" s="2"/>
      <c r="Q1677" s="2"/>
      <c r="R1677" s="2"/>
    </row>
    <row r="1678" spans="1:18" x14ac:dyDescent="0.25">
      <c r="B1678" s="14"/>
      <c r="C1678" s="1"/>
      <c r="D1678" s="1"/>
      <c r="P1678" s="2"/>
      <c r="Q1678" s="2"/>
      <c r="R1678" s="2"/>
    </row>
    <row r="1679" spans="1:18" x14ac:dyDescent="0.25">
      <c r="B1679" s="14"/>
      <c r="C1679" s="1"/>
      <c r="D1679" s="1"/>
      <c r="P1679" s="2"/>
      <c r="Q1679" s="2"/>
      <c r="R1679" s="2"/>
    </row>
    <row r="1680" spans="1:18" x14ac:dyDescent="0.25">
      <c r="B1680" s="14"/>
      <c r="C1680" s="1"/>
      <c r="D1680" s="1"/>
      <c r="P1680" s="2"/>
      <c r="Q1680" s="2"/>
      <c r="R1680" s="2"/>
    </row>
    <row r="1681" spans="2:18" x14ac:dyDescent="0.25">
      <c r="B1681" s="14"/>
      <c r="C1681" s="1"/>
      <c r="D1681" s="1"/>
      <c r="P1681" s="2"/>
      <c r="Q1681" s="2"/>
      <c r="R1681" s="2"/>
    </row>
    <row r="1682" spans="2:18" x14ac:dyDescent="0.25">
      <c r="B1682" s="14"/>
      <c r="C1682" s="1"/>
      <c r="D1682" s="1"/>
      <c r="P1682" s="2"/>
      <c r="Q1682" s="2"/>
      <c r="R1682" s="2"/>
    </row>
    <row r="1683" spans="2:18" x14ac:dyDescent="0.25">
      <c r="B1683" s="14"/>
      <c r="C1683" s="1"/>
      <c r="D1683" s="1"/>
      <c r="P1683" s="2"/>
      <c r="Q1683" s="2"/>
      <c r="R1683" s="2"/>
    </row>
    <row r="1684" spans="2:18" x14ac:dyDescent="0.25">
      <c r="B1684" s="14"/>
      <c r="C1684" s="1"/>
      <c r="D1684" s="1"/>
      <c r="P1684" s="2"/>
      <c r="Q1684" s="2"/>
      <c r="R1684" s="2"/>
    </row>
    <row r="1685" spans="2:18" x14ac:dyDescent="0.25">
      <c r="B1685" s="14"/>
      <c r="C1685" s="1"/>
      <c r="D1685" s="1"/>
      <c r="P1685" s="2"/>
      <c r="Q1685" s="2"/>
      <c r="R1685" s="2"/>
    </row>
    <row r="1686" spans="2:18" x14ac:dyDescent="0.25">
      <c r="B1686" s="14"/>
      <c r="C1686" s="1"/>
      <c r="D1686" s="1"/>
      <c r="P1686" s="2"/>
      <c r="Q1686" s="2"/>
      <c r="R1686" s="2"/>
    </row>
    <row r="1687" spans="2:18" x14ac:dyDescent="0.25">
      <c r="B1687" s="14"/>
      <c r="C1687" s="1"/>
      <c r="D1687" s="1"/>
      <c r="P1687" s="2"/>
      <c r="Q1687" s="2"/>
      <c r="R1687" s="2"/>
    </row>
    <row r="1688" spans="2:18" x14ac:dyDescent="0.25">
      <c r="B1688" s="14"/>
      <c r="C1688" s="1"/>
      <c r="D1688" s="1"/>
      <c r="P1688" s="2"/>
      <c r="Q1688" s="2"/>
      <c r="R1688" s="2"/>
    </row>
    <row r="1689" spans="2:18" x14ac:dyDescent="0.25">
      <c r="B1689" s="14"/>
      <c r="C1689" s="1"/>
      <c r="D1689" s="1"/>
      <c r="P1689" s="2"/>
      <c r="Q1689" s="2"/>
      <c r="R1689" s="2"/>
    </row>
    <row r="1690" spans="2:18" x14ac:dyDescent="0.25">
      <c r="B1690" s="14"/>
      <c r="C1690" s="1"/>
      <c r="D1690" s="1"/>
      <c r="P1690" s="2"/>
      <c r="Q1690" s="2"/>
      <c r="R1690" s="2"/>
    </row>
    <row r="1691" spans="2:18" x14ac:dyDescent="0.25">
      <c r="B1691" s="14"/>
      <c r="C1691" s="1"/>
      <c r="D1691" s="1"/>
      <c r="P1691" s="2"/>
      <c r="Q1691" s="2"/>
      <c r="R1691" s="2"/>
    </row>
    <row r="1692" spans="2:18" x14ac:dyDescent="0.25">
      <c r="B1692" s="14"/>
      <c r="C1692" s="1"/>
      <c r="D1692" s="1"/>
      <c r="P1692" s="2"/>
      <c r="Q1692" s="2"/>
      <c r="R1692" s="2"/>
    </row>
    <row r="1693" spans="2:18" x14ac:dyDescent="0.25">
      <c r="B1693" s="14"/>
      <c r="C1693" s="1"/>
      <c r="D1693" s="1"/>
      <c r="P1693" s="2"/>
      <c r="Q1693" s="2"/>
      <c r="R1693" s="2"/>
    </row>
    <row r="1694" spans="2:18" x14ac:dyDescent="0.25">
      <c r="B1694" s="14"/>
      <c r="C1694" s="1"/>
      <c r="D1694" s="1"/>
      <c r="P1694" s="2"/>
      <c r="Q1694" s="2"/>
      <c r="R1694" s="2"/>
    </row>
    <row r="1695" spans="2:18" x14ac:dyDescent="0.25">
      <c r="B1695" s="14"/>
      <c r="C1695" s="1"/>
      <c r="D1695" s="1"/>
      <c r="P1695" s="2"/>
      <c r="Q1695" s="2"/>
      <c r="R1695" s="2"/>
    </row>
    <row r="1696" spans="2:18" x14ac:dyDescent="0.25">
      <c r="B1696" s="14"/>
      <c r="C1696" s="1"/>
      <c r="D1696" s="1"/>
      <c r="P1696" s="2"/>
      <c r="Q1696" s="2"/>
      <c r="R1696" s="2"/>
    </row>
    <row r="1697" spans="2:18" x14ac:dyDescent="0.25">
      <c r="B1697" s="14"/>
      <c r="C1697" s="1"/>
      <c r="D1697" s="1"/>
      <c r="P1697" s="2"/>
      <c r="Q1697" s="2"/>
      <c r="R1697" s="2"/>
    </row>
    <row r="1698" spans="2:18" x14ac:dyDescent="0.25">
      <c r="B1698" s="14"/>
      <c r="C1698" s="1"/>
      <c r="D1698" s="1"/>
      <c r="P1698" s="2"/>
      <c r="Q1698" s="2"/>
      <c r="R1698" s="2"/>
    </row>
    <row r="1699" spans="2:18" x14ac:dyDescent="0.25">
      <c r="B1699" s="14"/>
      <c r="C1699" s="1"/>
      <c r="D1699" s="1"/>
      <c r="P1699" s="2"/>
      <c r="Q1699" s="2"/>
      <c r="R1699" s="2"/>
    </row>
    <row r="1700" spans="2:18" x14ac:dyDescent="0.25">
      <c r="B1700" s="14"/>
      <c r="C1700" s="1"/>
      <c r="D1700" s="1"/>
      <c r="P1700" s="2"/>
      <c r="Q1700" s="2"/>
      <c r="R1700" s="2"/>
    </row>
    <row r="1701" spans="2:18" x14ac:dyDescent="0.25">
      <c r="B1701" s="14"/>
      <c r="C1701" s="1"/>
      <c r="D1701" s="1"/>
      <c r="P1701" s="2"/>
      <c r="Q1701" s="2"/>
      <c r="R1701" s="2"/>
    </row>
    <row r="1702" spans="2:18" x14ac:dyDescent="0.25">
      <c r="B1702" s="14"/>
      <c r="C1702" s="1"/>
      <c r="D1702" s="1"/>
      <c r="P1702" s="2"/>
      <c r="Q1702" s="2"/>
      <c r="R1702" s="2"/>
    </row>
    <row r="1703" spans="2:18" x14ac:dyDescent="0.25">
      <c r="B1703" s="14"/>
      <c r="C1703" s="1"/>
      <c r="D1703" s="1"/>
      <c r="P1703" s="2"/>
      <c r="Q1703" s="2"/>
      <c r="R1703" s="2"/>
    </row>
    <row r="1704" spans="2:18" x14ac:dyDescent="0.25">
      <c r="B1704" s="14"/>
      <c r="C1704" s="1"/>
      <c r="D1704" s="1"/>
      <c r="P1704" s="2"/>
      <c r="Q1704" s="2"/>
      <c r="R1704" s="2"/>
    </row>
    <row r="1705" spans="2:18" x14ac:dyDescent="0.25">
      <c r="B1705" s="14"/>
      <c r="C1705" s="1"/>
      <c r="D1705" s="1"/>
      <c r="P1705" s="2"/>
      <c r="Q1705" s="2"/>
      <c r="R1705" s="2"/>
    </row>
    <row r="1706" spans="2:18" x14ac:dyDescent="0.25">
      <c r="B1706" s="14"/>
      <c r="C1706" s="1"/>
      <c r="D1706" s="1"/>
      <c r="P1706" s="2"/>
      <c r="Q1706" s="2"/>
      <c r="R1706" s="2"/>
    </row>
    <row r="1707" spans="2:18" x14ac:dyDescent="0.25">
      <c r="B1707" s="14"/>
      <c r="C1707" s="1"/>
      <c r="D1707" s="1"/>
      <c r="P1707" s="2"/>
      <c r="Q1707" s="2"/>
      <c r="R1707" s="2"/>
    </row>
    <row r="1708" spans="2:18" x14ac:dyDescent="0.25">
      <c r="B1708" s="14"/>
      <c r="C1708" s="1"/>
      <c r="D1708" s="1"/>
      <c r="P1708" s="2"/>
      <c r="Q1708" s="2"/>
      <c r="R1708" s="2"/>
    </row>
    <row r="1709" spans="2:18" x14ac:dyDescent="0.25">
      <c r="B1709" s="14"/>
      <c r="C1709" s="1"/>
      <c r="D1709" s="1"/>
      <c r="P1709" s="2"/>
      <c r="Q1709" s="2"/>
      <c r="R1709" s="2"/>
    </row>
    <row r="1710" spans="2:18" x14ac:dyDescent="0.25">
      <c r="B1710" s="14"/>
      <c r="C1710" s="1"/>
      <c r="D1710" s="1"/>
      <c r="P1710" s="2"/>
      <c r="Q1710" s="2"/>
      <c r="R1710" s="2"/>
    </row>
    <row r="1711" spans="2:18" x14ac:dyDescent="0.25">
      <c r="B1711" s="14"/>
      <c r="C1711" s="1"/>
      <c r="D1711" s="1"/>
      <c r="P1711" s="2"/>
      <c r="Q1711" s="2"/>
      <c r="R1711" s="2"/>
    </row>
    <row r="1712" spans="2:18" x14ac:dyDescent="0.25">
      <c r="B1712" s="14"/>
      <c r="C1712" s="1"/>
      <c r="D1712" s="1"/>
      <c r="P1712" s="2"/>
      <c r="Q1712" s="2"/>
      <c r="R1712" s="2"/>
    </row>
    <row r="1713" spans="2:18" x14ac:dyDescent="0.25">
      <c r="B1713" s="14"/>
      <c r="C1713" s="1"/>
      <c r="D1713" s="1"/>
      <c r="P1713" s="2"/>
      <c r="Q1713" s="2"/>
      <c r="R1713" s="2"/>
    </row>
    <row r="1714" spans="2:18" x14ac:dyDescent="0.25">
      <c r="B1714" s="14"/>
      <c r="C1714" s="1"/>
      <c r="D1714" s="1"/>
      <c r="P1714" s="2"/>
      <c r="Q1714" s="2"/>
      <c r="R1714" s="2"/>
    </row>
    <row r="1715" spans="2:18" x14ac:dyDescent="0.25">
      <c r="B1715" s="14"/>
      <c r="C1715" s="1"/>
      <c r="D1715" s="1"/>
      <c r="P1715" s="2"/>
      <c r="Q1715" s="2"/>
      <c r="R1715" s="2"/>
    </row>
    <row r="1716" spans="2:18" x14ac:dyDescent="0.25">
      <c r="B1716" s="14"/>
      <c r="C1716" s="1"/>
      <c r="D1716" s="1"/>
      <c r="P1716" s="2"/>
      <c r="Q1716" s="2"/>
      <c r="R1716" s="2"/>
    </row>
    <row r="1717" spans="2:18" x14ac:dyDescent="0.25">
      <c r="B1717" s="14"/>
      <c r="C1717" s="1"/>
      <c r="D1717" s="1"/>
      <c r="P1717" s="2"/>
      <c r="Q1717" s="2"/>
      <c r="R1717" s="2"/>
    </row>
    <row r="1718" spans="2:18" x14ac:dyDescent="0.25">
      <c r="B1718" s="14"/>
      <c r="C1718" s="1"/>
      <c r="D1718" s="1"/>
      <c r="P1718" s="2"/>
      <c r="Q1718" s="2"/>
      <c r="R1718" s="2"/>
    </row>
    <row r="1719" spans="2:18" x14ac:dyDescent="0.25">
      <c r="B1719" s="14"/>
      <c r="C1719" s="1"/>
      <c r="D1719" s="1"/>
      <c r="P1719" s="2"/>
      <c r="Q1719" s="2"/>
      <c r="R1719" s="2"/>
    </row>
    <row r="1720" spans="2:18" x14ac:dyDescent="0.25">
      <c r="B1720" s="14"/>
      <c r="C1720" s="1"/>
      <c r="D1720" s="1"/>
      <c r="P1720" s="2"/>
      <c r="Q1720" s="2"/>
      <c r="R1720" s="2"/>
    </row>
    <row r="1721" spans="2:18" x14ac:dyDescent="0.25">
      <c r="B1721" s="14"/>
      <c r="C1721" s="1"/>
      <c r="D1721" s="1"/>
      <c r="P1721" s="2"/>
      <c r="Q1721" s="2"/>
      <c r="R1721" s="2"/>
    </row>
    <row r="1722" spans="2:18" x14ac:dyDescent="0.25">
      <c r="B1722" s="14"/>
      <c r="C1722" s="1"/>
      <c r="D1722" s="1"/>
      <c r="P1722" s="2"/>
      <c r="Q1722" s="2"/>
      <c r="R1722" s="2"/>
    </row>
    <row r="1723" spans="2:18" x14ac:dyDescent="0.25">
      <c r="B1723" s="14"/>
      <c r="C1723" s="1"/>
      <c r="D1723" s="1"/>
      <c r="P1723" s="2"/>
      <c r="Q1723" s="2"/>
      <c r="R1723" s="2"/>
    </row>
    <row r="1724" spans="2:18" x14ac:dyDescent="0.25">
      <c r="B1724" s="14"/>
      <c r="C1724" s="1"/>
      <c r="D1724" s="1"/>
      <c r="P1724" s="2"/>
      <c r="Q1724" s="2"/>
      <c r="R1724" s="2"/>
    </row>
    <row r="1725" spans="2:18" x14ac:dyDescent="0.25">
      <c r="B1725" s="14"/>
      <c r="C1725" s="1"/>
      <c r="D1725" s="1"/>
      <c r="P1725" s="2"/>
      <c r="Q1725" s="2"/>
      <c r="R1725" s="2"/>
    </row>
    <row r="1726" spans="2:18" x14ac:dyDescent="0.25">
      <c r="B1726" s="14"/>
      <c r="C1726" s="1"/>
      <c r="D1726" s="1"/>
      <c r="P1726" s="2"/>
      <c r="Q1726" s="2"/>
      <c r="R1726" s="2"/>
    </row>
    <row r="1727" spans="2:18" x14ac:dyDescent="0.25">
      <c r="B1727" s="14"/>
      <c r="C1727" s="1"/>
      <c r="D1727" s="1"/>
      <c r="P1727" s="2"/>
      <c r="Q1727" s="2"/>
      <c r="R1727" s="2"/>
    </row>
    <row r="1728" spans="2:18" x14ac:dyDescent="0.25">
      <c r="B1728" s="14"/>
      <c r="C1728" s="1"/>
      <c r="D1728" s="1"/>
      <c r="P1728" s="2"/>
      <c r="Q1728" s="2"/>
      <c r="R1728" s="2"/>
    </row>
    <row r="1729" spans="2:18" x14ac:dyDescent="0.25">
      <c r="B1729" s="14"/>
      <c r="C1729" s="1"/>
      <c r="D1729" s="1"/>
      <c r="P1729" s="2"/>
      <c r="Q1729" s="2"/>
      <c r="R1729" s="2"/>
    </row>
    <row r="1730" spans="2:18" x14ac:dyDescent="0.25">
      <c r="B1730" s="14"/>
      <c r="C1730" s="1"/>
      <c r="D1730" s="1"/>
      <c r="P1730" s="2"/>
      <c r="Q1730" s="2"/>
      <c r="R1730" s="2"/>
    </row>
    <row r="1731" spans="2:18" x14ac:dyDescent="0.25">
      <c r="B1731" s="14"/>
      <c r="C1731" s="1"/>
      <c r="D1731" s="1"/>
      <c r="P1731" s="2"/>
      <c r="Q1731" s="2"/>
      <c r="R1731" s="2"/>
    </row>
    <row r="1732" spans="2:18" x14ac:dyDescent="0.25">
      <c r="B1732" s="14"/>
      <c r="C1732" s="1"/>
      <c r="D1732" s="1"/>
      <c r="P1732" s="2"/>
      <c r="Q1732" s="2"/>
      <c r="R1732" s="2"/>
    </row>
    <row r="1733" spans="2:18" x14ac:dyDescent="0.25">
      <c r="B1733" s="14"/>
      <c r="C1733" s="1"/>
      <c r="D1733" s="1"/>
      <c r="P1733" s="2"/>
      <c r="Q1733" s="2"/>
      <c r="R1733" s="2"/>
    </row>
    <row r="1734" spans="2:18" x14ac:dyDescent="0.25">
      <c r="B1734" s="14"/>
      <c r="C1734" s="1"/>
      <c r="D1734" s="1"/>
      <c r="P1734" s="2"/>
      <c r="Q1734" s="2"/>
      <c r="R1734" s="2"/>
    </row>
    <row r="1735" spans="2:18" x14ac:dyDescent="0.25">
      <c r="B1735" s="14"/>
      <c r="C1735" s="1"/>
      <c r="D1735" s="1"/>
      <c r="P1735" s="2"/>
      <c r="Q1735" s="2"/>
      <c r="R1735" s="2"/>
    </row>
    <row r="1736" spans="2:18" x14ac:dyDescent="0.25">
      <c r="B1736" s="14"/>
      <c r="C1736" s="1"/>
      <c r="D1736" s="1"/>
      <c r="P1736" s="2"/>
      <c r="Q1736" s="2"/>
      <c r="R1736" s="2"/>
    </row>
    <row r="1737" spans="2:18" x14ac:dyDescent="0.25">
      <c r="B1737" s="14"/>
      <c r="C1737" s="1"/>
      <c r="D1737" s="1"/>
      <c r="P1737" s="2"/>
      <c r="Q1737" s="2"/>
      <c r="R1737" s="2"/>
    </row>
    <row r="1738" spans="2:18" x14ac:dyDescent="0.25">
      <c r="B1738" s="14"/>
      <c r="C1738" s="1"/>
      <c r="D1738" s="1"/>
      <c r="P1738" s="2"/>
      <c r="Q1738" s="2"/>
      <c r="R1738" s="2"/>
    </row>
    <row r="1739" spans="2:18" x14ac:dyDescent="0.25">
      <c r="B1739" s="14"/>
      <c r="C1739" s="1"/>
      <c r="D1739" s="1"/>
      <c r="P1739" s="2"/>
      <c r="Q1739" s="2"/>
      <c r="R1739" s="2"/>
    </row>
    <row r="1740" spans="2:18" x14ac:dyDescent="0.25">
      <c r="B1740" s="14"/>
      <c r="C1740" s="1"/>
      <c r="D1740" s="1"/>
      <c r="P1740" s="2"/>
      <c r="Q1740" s="2"/>
      <c r="R1740" s="2"/>
    </row>
    <row r="1741" spans="2:18" x14ac:dyDescent="0.25">
      <c r="B1741" s="14"/>
      <c r="C1741" s="1"/>
      <c r="D1741" s="1"/>
      <c r="P1741" s="2"/>
      <c r="Q1741" s="2"/>
      <c r="R1741" s="2"/>
    </row>
    <row r="1742" spans="2:18" x14ac:dyDescent="0.25">
      <c r="B1742" s="14"/>
      <c r="C1742" s="1"/>
      <c r="D1742" s="1"/>
      <c r="P1742" s="2"/>
      <c r="Q1742" s="2"/>
      <c r="R1742" s="2"/>
    </row>
    <row r="1743" spans="2:18" x14ac:dyDescent="0.25">
      <c r="B1743" s="14"/>
      <c r="C1743" s="1"/>
      <c r="D1743" s="1"/>
      <c r="P1743" s="2"/>
      <c r="Q1743" s="2"/>
      <c r="R1743" s="2"/>
    </row>
    <row r="1744" spans="2:18" x14ac:dyDescent="0.25">
      <c r="B1744" s="14"/>
      <c r="C1744" s="1"/>
      <c r="D1744" s="1"/>
      <c r="P1744" s="2"/>
      <c r="Q1744" s="2"/>
      <c r="R1744" s="2"/>
    </row>
    <row r="1745" spans="1:19" x14ac:dyDescent="0.25">
      <c r="B1745" s="14"/>
      <c r="C1745" s="1"/>
      <c r="D1745" s="1"/>
      <c r="P1745" s="2"/>
      <c r="Q1745" s="2"/>
      <c r="R1745" s="2"/>
    </row>
    <row r="1746" spans="1:19" x14ac:dyDescent="0.25">
      <c r="B1746" s="14"/>
      <c r="C1746" s="1"/>
      <c r="D1746" s="1"/>
      <c r="P1746" s="2"/>
      <c r="Q1746" s="2"/>
      <c r="R1746" s="2"/>
    </row>
    <row r="1747" spans="1:19" x14ac:dyDescent="0.25">
      <c r="B1747" s="14"/>
      <c r="C1747" s="1"/>
      <c r="D1747" s="1"/>
      <c r="P1747" s="2"/>
      <c r="Q1747" s="2"/>
      <c r="R1747" s="2"/>
    </row>
    <row r="1748" spans="1:19" x14ac:dyDescent="0.25">
      <c r="B1748" s="14"/>
      <c r="C1748" s="1"/>
      <c r="D1748" s="1"/>
      <c r="P1748" s="2"/>
      <c r="Q1748" s="2"/>
      <c r="R1748" s="2"/>
    </row>
    <row r="1749" spans="1:19" x14ac:dyDescent="0.25">
      <c r="B1749" s="14"/>
      <c r="C1749" s="1"/>
      <c r="D1749" s="1"/>
      <c r="P1749" s="2"/>
      <c r="Q1749" s="2"/>
      <c r="R1749" s="2"/>
    </row>
    <row r="1750" spans="1:19" x14ac:dyDescent="0.25">
      <c r="B1750" s="14"/>
      <c r="C1750" s="1"/>
      <c r="D1750" s="1"/>
      <c r="P1750" s="2"/>
      <c r="Q1750" s="2"/>
      <c r="R1750" s="2"/>
    </row>
    <row r="1751" spans="1:19" x14ac:dyDescent="0.25">
      <c r="B1751" s="14"/>
      <c r="C1751" s="1"/>
      <c r="D1751" s="1"/>
      <c r="P1751" s="2"/>
      <c r="Q1751" s="2"/>
      <c r="R1751" s="2"/>
    </row>
    <row r="1752" spans="1:19" x14ac:dyDescent="0.25">
      <c r="B1752" s="14"/>
      <c r="C1752" s="14"/>
      <c r="D1752" s="14"/>
      <c r="P1752" s="2"/>
      <c r="Q1752" s="2"/>
      <c r="R1752" s="2"/>
    </row>
    <row r="1753" spans="1:19" x14ac:dyDescent="0.25">
      <c r="B1753" s="14" t="s">
        <v>1618</v>
      </c>
      <c r="C1753" s="14"/>
      <c r="D1753" s="14"/>
      <c r="E1753" s="26">
        <f>AVERAGE(E1047:E1099)</f>
        <v>42.490566037735846</v>
      </c>
      <c r="F1753" s="26"/>
      <c r="G1753" s="26">
        <f>AVERAGE(G1047:G1099)</f>
        <v>37.641509433962263</v>
      </c>
      <c r="H1753" s="26"/>
      <c r="I1753" s="26">
        <f>AVERAGE(I1047:I1099)</f>
        <v>56.320754716981135</v>
      </c>
      <c r="M1753" s="26"/>
      <c r="P1753" s="2"/>
      <c r="Q1753" s="2"/>
      <c r="R1753" s="2"/>
    </row>
    <row r="1754" spans="1:19" x14ac:dyDescent="0.25">
      <c r="B1754" s="25" t="s">
        <v>1619</v>
      </c>
      <c r="C1754" s="25"/>
      <c r="D1754" s="25"/>
      <c r="E1754" s="1" t="s">
        <v>1620</v>
      </c>
      <c r="G1754" s="1" t="s">
        <v>1621</v>
      </c>
      <c r="I1754" s="1" t="s">
        <v>1622</v>
      </c>
      <c r="P1754" s="2"/>
      <c r="Q1754" s="2"/>
      <c r="R1754" s="2"/>
    </row>
    <row r="1755" spans="1:19" x14ac:dyDescent="0.25">
      <c r="B1755" s="1"/>
      <c r="C1755" s="1"/>
      <c r="D1755" s="1"/>
      <c r="P1755" s="2"/>
      <c r="Q1755" s="2"/>
      <c r="R1755" s="2"/>
    </row>
    <row r="1756" spans="1:19" x14ac:dyDescent="0.25">
      <c r="B1756" s="1"/>
      <c r="C1756" s="1"/>
      <c r="D1756" s="1"/>
      <c r="E1756" s="3" t="s">
        <v>0</v>
      </c>
      <c r="G1756" s="3" t="s">
        <v>2</v>
      </c>
      <c r="I1756" s="3" t="s">
        <v>3</v>
      </c>
      <c r="Q1756" s="1" t="s">
        <v>1624</v>
      </c>
    </row>
    <row r="1757" spans="1:19" x14ac:dyDescent="0.25">
      <c r="E1757" s="3" t="s">
        <v>9</v>
      </c>
      <c r="G1757" s="3" t="s">
        <v>16</v>
      </c>
      <c r="I1757" s="39" t="s">
        <v>1623</v>
      </c>
    </row>
    <row r="1758" spans="1:19" x14ac:dyDescent="0.25">
      <c r="A1758" s="16" t="s">
        <v>1625</v>
      </c>
      <c r="E1758" s="20">
        <f>(E1441/E1389)-1</f>
        <v>-0.51724137931034475</v>
      </c>
      <c r="F1758" s="20"/>
      <c r="G1758" s="20">
        <f>(G1441/G1389)-1</f>
        <v>0</v>
      </c>
      <c r="H1758" s="20"/>
      <c r="I1758" s="20">
        <f>(I1441/I1389)-1</f>
        <v>0.1020408163265305</v>
      </c>
      <c r="M1758" s="4"/>
      <c r="N1758" s="17"/>
      <c r="O1758" s="4"/>
    </row>
    <row r="1759" spans="1:19" x14ac:dyDescent="0.25">
      <c r="A1759" s="16" t="s">
        <v>1626</v>
      </c>
      <c r="E1759" s="17">
        <f>(E1441/F1441)-1</f>
        <v>-0.55555555555555558</v>
      </c>
      <c r="G1759" s="17">
        <f>(G1441/H1441)-1</f>
        <v>-0.1333333333333333</v>
      </c>
      <c r="I1759" s="17">
        <f>(I1441/J1441)-1</f>
        <v>0.17391304347826098</v>
      </c>
      <c r="P1759" s="26"/>
      <c r="Q1759" s="26"/>
      <c r="R1759" s="26"/>
      <c r="S1759" s="26"/>
    </row>
    <row r="1760" spans="1:19" x14ac:dyDescent="0.25">
      <c r="A1760" s="16"/>
    </row>
    <row r="1761" spans="1:24" x14ac:dyDescent="0.25">
      <c r="A1761" s="16"/>
    </row>
    <row r="1762" spans="1:24" x14ac:dyDescent="0.25">
      <c r="A1762" s="16"/>
      <c r="N1762" s="17"/>
      <c r="O1762" s="24"/>
    </row>
    <row r="1763" spans="1:24" x14ac:dyDescent="0.25">
      <c r="A1763" s="16"/>
      <c r="P1763" s="4"/>
      <c r="Q1763" s="4"/>
      <c r="R1763" s="4"/>
      <c r="S1763" s="4"/>
      <c r="V1763" s="4"/>
      <c r="W1763" s="4"/>
      <c r="X1763" s="4"/>
    </row>
    <row r="1765" spans="1:24" x14ac:dyDescent="0.25">
      <c r="M1765" s="17"/>
    </row>
    <row r="1766" spans="1:24" x14ac:dyDescent="0.25">
      <c r="M1766" s="17"/>
    </row>
    <row r="1771" spans="1:24" x14ac:dyDescent="0.25">
      <c r="N1771" s="21"/>
      <c r="O1771" s="21"/>
      <c r="P1771" s="21"/>
      <c r="Q1771" s="21"/>
    </row>
    <row r="1773" spans="1:24" x14ac:dyDescent="0.25">
      <c r="F1773" s="2"/>
    </row>
    <row r="1822" spans="9:9" x14ac:dyDescent="0.25">
      <c r="I1822" s="2"/>
    </row>
    <row r="1833" spans="16:19" x14ac:dyDescent="0.25">
      <c r="P1833" s="4"/>
      <c r="Q1833" s="4"/>
      <c r="R1833" s="4"/>
      <c r="S1833" s="4"/>
    </row>
  </sheetData>
  <autoFilter ref="A927:A932" xr:uid="{00000000-0009-0000-0000-000000000000}"/>
  <sortState xmlns:xlrd2="http://schemas.microsoft.com/office/spreadsheetml/2017/richdata2" ref="I1075:I1126">
    <sortCondition ref="I1075"/>
  </sortState>
  <mergeCells count="1">
    <mergeCell ref="K1:O1"/>
  </mergeCells>
  <phoneticPr fontId="2" type="noConversion"/>
  <pageMargins left="0.75" right="0.75" top="1" bottom="1" header="0.5" footer="0.5"/>
  <pageSetup orientation="landscape" horizontalDpi="1200" verticalDpi="1200" r:id="rId1"/>
  <headerFooter alignWithMargins="0"/>
  <ignoredErrors>
    <ignoredError sqref="E1753:I1753 E1669:I166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tabSelected="1" zoomScale="160" zoomScaleNormal="160" workbookViewId="0">
      <selection activeCell="A7" sqref="A7:E7"/>
    </sheetView>
  </sheetViews>
  <sheetFormatPr defaultRowHeight="12.75" x14ac:dyDescent="0.2"/>
  <cols>
    <col min="1" max="1" width="21.5703125" customWidth="1"/>
    <col min="2" max="5" width="13.5703125" customWidth="1"/>
    <col min="6" max="6" width="2.140625" customWidth="1"/>
  </cols>
  <sheetData>
    <row r="1" spans="1:7" x14ac:dyDescent="0.2">
      <c r="A1" s="7" t="s">
        <v>1627</v>
      </c>
      <c r="B1" s="15"/>
      <c r="C1" s="15"/>
      <c r="D1" s="15"/>
      <c r="E1" s="15"/>
      <c r="F1" s="15"/>
      <c r="G1" s="15"/>
    </row>
    <row r="2" spans="1:7" ht="14.25" x14ac:dyDescent="0.2">
      <c r="A2" s="18" t="s">
        <v>1628</v>
      </c>
      <c r="B2" s="41"/>
      <c r="C2" s="41"/>
      <c r="D2" s="19"/>
      <c r="E2" s="6"/>
      <c r="F2" s="15"/>
      <c r="G2" s="15"/>
    </row>
    <row r="3" spans="1:7" x14ac:dyDescent="0.2">
      <c r="A3" s="63" t="s">
        <v>13</v>
      </c>
      <c r="B3" s="61" t="s">
        <v>0</v>
      </c>
      <c r="C3" s="66"/>
      <c r="D3" s="66"/>
      <c r="E3" s="61" t="s">
        <v>1629</v>
      </c>
      <c r="F3" s="15"/>
      <c r="G3" s="15"/>
    </row>
    <row r="4" spans="1:7" x14ac:dyDescent="0.2">
      <c r="A4" s="64"/>
      <c r="B4" s="67"/>
      <c r="C4" s="67"/>
      <c r="D4" s="67"/>
      <c r="E4" s="62"/>
      <c r="F4" s="15"/>
      <c r="G4" s="15"/>
    </row>
    <row r="5" spans="1:7" x14ac:dyDescent="0.2">
      <c r="A5" s="64"/>
      <c r="B5" s="61" t="s">
        <v>1</v>
      </c>
      <c r="C5" s="61" t="s">
        <v>1630</v>
      </c>
      <c r="D5" s="61" t="s">
        <v>1631</v>
      </c>
      <c r="E5" s="61" t="s">
        <v>1</v>
      </c>
      <c r="F5" s="15"/>
      <c r="G5" s="15"/>
    </row>
    <row r="6" spans="1:7" x14ac:dyDescent="0.2">
      <c r="A6" s="65"/>
      <c r="B6" s="62"/>
      <c r="C6" s="62"/>
      <c r="D6" s="62"/>
      <c r="E6" s="62"/>
      <c r="F6" s="15"/>
      <c r="G6" s="15"/>
    </row>
    <row r="7" spans="1:7" x14ac:dyDescent="0.2">
      <c r="A7" s="30">
        <f>Data!A1662</f>
        <v>46310</v>
      </c>
      <c r="B7" s="27">
        <f>Data!E1662</f>
        <v>24</v>
      </c>
      <c r="C7" s="27">
        <f>Data!G1662</f>
        <v>31</v>
      </c>
      <c r="D7" s="27">
        <f>Data!I1662</f>
        <v>45</v>
      </c>
      <c r="E7" s="54">
        <f>Data!M1662</f>
        <v>18</v>
      </c>
      <c r="F7" s="15"/>
      <c r="G7" s="15"/>
    </row>
    <row r="8" spans="1:7" x14ac:dyDescent="0.2">
      <c r="A8" s="30">
        <f>Data!A1661</f>
        <v>46303</v>
      </c>
      <c r="B8" s="27">
        <f>Data!E1661</f>
        <v>27</v>
      </c>
      <c r="C8" s="27">
        <f>Data!G1661</f>
        <v>28</v>
      </c>
      <c r="D8" s="27">
        <f>Data!I1661</f>
        <v>46</v>
      </c>
      <c r="E8" s="54">
        <f>Data!M1661</f>
        <v>17</v>
      </c>
      <c r="F8" s="15"/>
      <c r="G8" s="15"/>
    </row>
    <row r="9" spans="1:7" x14ac:dyDescent="0.2">
      <c r="A9" s="31" t="s">
        <v>1651</v>
      </c>
      <c r="B9" s="28" t="s">
        <v>1653</v>
      </c>
      <c r="C9" s="28" t="s">
        <v>1654</v>
      </c>
      <c r="D9" s="28" t="s">
        <v>1655</v>
      </c>
      <c r="E9" s="28" t="s">
        <v>1656</v>
      </c>
      <c r="F9" s="15"/>
      <c r="G9" s="15"/>
    </row>
    <row r="10" spans="1:7" x14ac:dyDescent="0.2">
      <c r="A10" s="32" t="s">
        <v>1652</v>
      </c>
      <c r="B10" s="29">
        <v>28</v>
      </c>
      <c r="C10" s="29">
        <v>28</v>
      </c>
      <c r="D10" s="29">
        <v>45</v>
      </c>
      <c r="E10" s="29">
        <v>13</v>
      </c>
      <c r="F10" s="15"/>
      <c r="G10" s="15"/>
    </row>
    <row r="11" spans="1:7" x14ac:dyDescent="0.2">
      <c r="A11" s="8" t="s">
        <v>1632</v>
      </c>
      <c r="B11" s="8"/>
      <c r="C11" s="8"/>
      <c r="D11" s="8"/>
      <c r="E11" s="8"/>
      <c r="F11" s="15"/>
      <c r="G11" s="15"/>
    </row>
    <row r="12" spans="1:7" x14ac:dyDescent="0.2">
      <c r="B12" s="15"/>
      <c r="C12" s="15"/>
      <c r="D12" s="15"/>
      <c r="E12" s="15"/>
      <c r="F12" s="15"/>
      <c r="G12" s="15"/>
    </row>
    <row r="13" spans="1:7" x14ac:dyDescent="0.2">
      <c r="A13" s="15"/>
      <c r="B13" s="15"/>
      <c r="C13" s="15"/>
      <c r="D13" s="15"/>
      <c r="E13" s="15"/>
      <c r="F13" s="15"/>
      <c r="G13" s="15"/>
    </row>
    <row r="14" spans="1:7" x14ac:dyDescent="0.2">
      <c r="A14" s="15"/>
      <c r="B14" s="15"/>
      <c r="C14" s="15"/>
      <c r="D14" s="15"/>
      <c r="E14" s="15"/>
      <c r="F14" s="15"/>
      <c r="G14" s="15"/>
    </row>
    <row r="15" spans="1:7" x14ac:dyDescent="0.2">
      <c r="A15" s="15"/>
      <c r="B15" s="15"/>
      <c r="C15" s="15"/>
      <c r="D15" s="15"/>
      <c r="E15" s="15"/>
      <c r="F15" s="15"/>
      <c r="G15" s="15"/>
    </row>
  </sheetData>
  <mergeCells count="7">
    <mergeCell ref="E5:E6"/>
    <mergeCell ref="E3:E4"/>
    <mergeCell ref="A3:A6"/>
    <mergeCell ref="B3:D4"/>
    <mergeCell ref="B5:B6"/>
    <mergeCell ref="C5:C6"/>
    <mergeCell ref="D5:D6"/>
  </mergeCells>
  <phoneticPr fontId="2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28D8A-FDED-41E1-9F7C-5DCA48F8E6A3}">
  <sheetPr>
    <pageSetUpPr fitToPage="1"/>
  </sheetPr>
  <dimension ref="A1:P45"/>
  <sheetViews>
    <sheetView zoomScaleNormal="100" workbookViewId="0">
      <selection activeCell="N14" sqref="N14"/>
    </sheetView>
  </sheetViews>
  <sheetFormatPr defaultRowHeight="12.75" x14ac:dyDescent="0.2"/>
  <sheetData>
    <row r="1" spans="1:16" x14ac:dyDescent="0.2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16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 x14ac:dyDescent="0.2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 x14ac:dyDescent="0.2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spans="1:16" x14ac:dyDescent="0.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8" spans="1:16" x14ac:dyDescent="0.2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</row>
    <row r="9" spans="1:16" x14ac:dyDescent="0.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</row>
    <row r="10" spans="1:16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1:16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58" t="s">
        <v>1691</v>
      </c>
      <c r="P11" s="15"/>
    </row>
    <row r="12" spans="1:16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</row>
    <row r="13" spans="1:16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</row>
    <row r="14" spans="1:16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</row>
    <row r="15" spans="1:16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</row>
    <row r="16" spans="1:16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spans="1:16" x14ac:dyDescent="0.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pans="1:16" x14ac:dyDescent="0.2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spans="1:16" x14ac:dyDescent="0.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</row>
    <row r="20" spans="1:16" x14ac:dyDescent="0.2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16" x14ac:dyDescent="0.2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 x14ac:dyDescent="0.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spans="1:16" x14ac:dyDescent="0.2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</row>
    <row r="24" spans="1:16" x14ac:dyDescent="0.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spans="1:16" x14ac:dyDescent="0.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1:16" x14ac:dyDescent="0.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7" spans="1:16" x14ac:dyDescent="0.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spans="1:16" x14ac:dyDescent="0.2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spans="1:16" x14ac:dyDescent="0.2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</row>
    <row r="30" spans="1:16" x14ac:dyDescent="0.2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</row>
    <row r="31" spans="1:16" x14ac:dyDescent="0.2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</row>
    <row r="32" spans="1:16" x14ac:dyDescent="0.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spans="1:16" x14ac:dyDescent="0.2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</row>
    <row r="34" spans="1:16" x14ac:dyDescent="0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</row>
    <row r="35" spans="1:16" x14ac:dyDescent="0.2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spans="1:16" x14ac:dyDescent="0.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</row>
    <row r="37" spans="1:16" x14ac:dyDescent="0.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</row>
    <row r="38" spans="1:16" x14ac:dyDescent="0.2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</row>
    <row r="39" spans="1:16" x14ac:dyDescent="0.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</row>
    <row r="40" spans="1:16" x14ac:dyDescent="0.2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3" spans="1:16" x14ac:dyDescent="0.2">
      <c r="B43" s="42" t="s">
        <v>1633</v>
      </c>
    </row>
    <row r="45" spans="1:16" x14ac:dyDescent="0.2">
      <c r="B45" t="s">
        <v>1634</v>
      </c>
    </row>
  </sheetData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350C3-40E7-4904-9B55-CF2B1D14C609}">
  <dimension ref="D5:F7"/>
  <sheetViews>
    <sheetView topLeftCell="B1" workbookViewId="0">
      <selection activeCell="F13" sqref="F13"/>
    </sheetView>
  </sheetViews>
  <sheetFormatPr defaultRowHeight="12.75" x14ac:dyDescent="0.2"/>
  <cols>
    <col min="4" max="4" width="27.7109375" customWidth="1"/>
    <col min="5" max="5" width="10.28515625" customWidth="1"/>
    <col min="6" max="6" width="14" customWidth="1"/>
  </cols>
  <sheetData>
    <row r="5" spans="4:6" ht="32.25" customHeight="1" x14ac:dyDescent="0.2">
      <c r="D5" s="43" t="s">
        <v>1698</v>
      </c>
      <c r="E5" s="44" t="s">
        <v>2</v>
      </c>
      <c r="F5" s="45" t="s">
        <v>3</v>
      </c>
    </row>
    <row r="6" spans="4:6" ht="26.25" customHeight="1" x14ac:dyDescent="0.2">
      <c r="D6" s="46" t="s">
        <v>1635</v>
      </c>
      <c r="E6" s="50">
        <v>3.3000000000000002E-2</v>
      </c>
      <c r="F6" s="51">
        <v>-4.2999999999999997E-2</v>
      </c>
    </row>
    <row r="7" spans="4:6" ht="31.5" customHeight="1" x14ac:dyDescent="0.2">
      <c r="D7" s="47" t="s">
        <v>1636</v>
      </c>
      <c r="E7" s="57">
        <v>-3.1E-2</v>
      </c>
      <c r="F7" s="52">
        <v>4.7E-2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9C55AAF501CD48B02588050A46B66A" ma:contentTypeVersion="20" ma:contentTypeDescription="Create a new document." ma:contentTypeScope="" ma:versionID="cfbbb72a77ddc149ae5429f8aad3bc86">
  <xsd:schema xmlns:xsd="http://www.w3.org/2001/XMLSchema" xmlns:xs="http://www.w3.org/2001/XMLSchema" xmlns:p="http://schemas.microsoft.com/office/2006/metadata/properties" xmlns:ns1="http://schemas.microsoft.com/sharepoint/v3" xmlns:ns2="e5e636eb-adfb-4590-8a37-683d3312c821" xmlns:ns3="8f98163f-4713-4d38-9764-55bef18e0fec" targetNamespace="http://schemas.microsoft.com/office/2006/metadata/properties" ma:root="true" ma:fieldsID="8aeff91eee669ee1a07d9e9975fcff3e" ns1:_="" ns2:_="" ns3:_="">
    <xsd:import namespace="http://schemas.microsoft.com/sharepoint/v3"/>
    <xsd:import namespace="e5e636eb-adfb-4590-8a37-683d3312c821"/>
    <xsd:import namespace="8f98163f-4713-4d38-9764-55bef18e0fec"/>
    <xsd:element name="properties">
      <xsd:complexType>
        <xsd:sequence>
          <xsd:element name="documentManagement">
            <xsd:complexType>
              <xsd:all>
                <xsd:element ref="ns2:DispositionAuthority" minOccurs="0"/>
                <xsd:element ref="ns3:TaxCatchAll" minOccurs="0"/>
                <xsd:element ref="ns2:Note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e636eb-adfb-4590-8a37-683d3312c821" elementFormDefault="qualified">
    <xsd:import namespace="http://schemas.microsoft.com/office/2006/documentManagement/types"/>
    <xsd:import namespace="http://schemas.microsoft.com/office/infopath/2007/PartnerControls"/>
    <xsd:element name="DispositionAuthority" ma:index="8" nillable="true" ma:displayName="Disposition Authority" ma:format="Dropdown" ma:internalName="DispositionAuthority">
      <xsd:simpleType>
        <xsd:restriction base="dms:Text">
          <xsd:maxLength value="255"/>
        </xsd:restriction>
      </xsd:simpleType>
    </xsd:element>
    <xsd:element name="Notes" ma:index="10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98163f-4713-4d38-9764-55bef18e0fec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b6cb4f6c-4c0b-41d2-8ae9-2ada85f8cfb9}" ma:internalName="TaxCatchAll" ma:showField="CatchAllData" ma:web="8f98163f-4713-4d38-9764-55bef18e0f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e5e636eb-adfb-4590-8a37-683d3312c821" xsi:nil="true"/>
    <lcf76f155ced4ddcb4097134ff3c332f xmlns="e5e636eb-adfb-4590-8a37-683d3312c821">
      <Terms xmlns="http://schemas.microsoft.com/office/infopath/2007/PartnerControls"/>
    </lcf76f155ced4ddcb4097134ff3c332f>
    <TaxCatchAll xmlns="8f98163f-4713-4d38-9764-55bef18e0fec" xsi:nil="true"/>
    <DispositionAuthority xmlns="e5e636eb-adfb-4590-8a37-683d3312c82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4B7DC8-DDD3-4AA6-9799-A9D62D6C97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5e636eb-adfb-4590-8a37-683d3312c821"/>
    <ds:schemaRef ds:uri="8f98163f-4713-4d38-9764-55bef18e0f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7BED19-AFAA-4C03-A209-8A99D3535EE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5e636eb-adfb-4590-8a37-683d3312c821"/>
    <ds:schemaRef ds:uri="8f98163f-4713-4d38-9764-55bef18e0fec"/>
  </ds:schemaRefs>
</ds:datastoreItem>
</file>

<file path=customXml/itemProps3.xml><?xml version="1.0" encoding="utf-8"?>
<ds:datastoreItem xmlns:ds="http://schemas.openxmlformats.org/officeDocument/2006/customXml" ds:itemID="{9EBCAC0B-2B80-451C-BD84-7EB5955C62C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New  Table 19</vt:lpstr>
      <vt:lpstr>Figure 19 Redesigned</vt:lpstr>
      <vt:lpstr>Figure 19 table</vt:lpstr>
      <vt:lpstr>'Figure 19 Redesigned'!Print_Area</vt:lpstr>
    </vt:vector>
  </TitlesOfParts>
  <Manager/>
  <Company>USDA\AMS\TM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Karla Martin</dc:creator>
  <cp:keywords/>
  <dc:description/>
  <cp:lastModifiedBy>Olowolayemo, Surajudeen - MRP-AMS</cp:lastModifiedBy>
  <cp:revision/>
  <cp:lastPrinted>2026-06-17T20:25:42Z</cp:lastPrinted>
  <dcterms:created xsi:type="dcterms:W3CDTF">2004-05-17T12:40:45Z</dcterms:created>
  <dcterms:modified xsi:type="dcterms:W3CDTF">2026-10-15T19:28:04Z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ProgID">
    <vt:lpwstr/>
  </property>
  <property fmtid="{D5CDD505-2E9C-101B-9397-08002B2CF9AE}" pid="3" name="MediaServiceImageTags">
    <vt:lpwstr/>
  </property>
  <property fmtid="{D5CDD505-2E9C-101B-9397-08002B2CF9AE}" pid="4" name="ContentTypeId">
    <vt:lpwstr>0x010100A79C55AAF501CD48B02588050A46B66A</vt:lpwstr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Migrated">
    <vt:bool>false</vt:bool>
  </property>
</Properties>
</file>